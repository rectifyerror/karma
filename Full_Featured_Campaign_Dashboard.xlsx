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GM/The Martech Lab/Website Work/HTML/"/>
    </mc:Choice>
  </mc:AlternateContent>
  <xr:revisionPtr revIDLastSave="0" documentId="13_ncr:1_{9F916900-865D-DB43-9E43-595C709257EB}" xr6:coauthVersionLast="47" xr6:coauthVersionMax="47" xr10:uidLastSave="{00000000-0000-0000-0000-000000000000}"/>
  <bookViews>
    <workbookView xWindow="0" yWindow="620" windowWidth="28800" windowHeight="17380" activeTab="6" xr2:uid="{00000000-000D-0000-FFFF-FFFF00000000}"/>
  </bookViews>
  <sheets>
    <sheet name="Raw Data" sheetId="1" r:id="rId1"/>
    <sheet name="Lists" sheetId="2" r:id="rId2"/>
    <sheet name="Overview" sheetId="3" r:id="rId3"/>
    <sheet name="Trends" sheetId="4" r:id="rId4"/>
    <sheet name="Channel Performance" sheetId="5" r:id="rId5"/>
    <sheet name="Dashboard" sheetId="6" r:id="rId6"/>
    <sheet name="How to - Pivot &amp; Slic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4" i="6"/>
  <c r="B3" i="6"/>
  <c r="G8" i="5"/>
  <c r="F8" i="5"/>
  <c r="J8" i="5" s="1"/>
  <c r="E8" i="5"/>
  <c r="I8" i="5" s="1"/>
  <c r="D8" i="5"/>
  <c r="K8" i="5" s="1"/>
  <c r="C8" i="5"/>
  <c r="B8" i="5"/>
  <c r="H8" i="5" s="1"/>
  <c r="G7" i="5"/>
  <c r="F7" i="5"/>
  <c r="J7" i="5" s="1"/>
  <c r="E7" i="5"/>
  <c r="I7" i="5" s="1"/>
  <c r="D7" i="5"/>
  <c r="K7" i="5" s="1"/>
  <c r="C7" i="5"/>
  <c r="B7" i="5"/>
  <c r="H7" i="5" s="1"/>
  <c r="G6" i="5"/>
  <c r="F6" i="5"/>
  <c r="J6" i="5" s="1"/>
  <c r="E6" i="5"/>
  <c r="I6" i="5" s="1"/>
  <c r="D6" i="5"/>
  <c r="K6" i="5" s="1"/>
  <c r="C6" i="5"/>
  <c r="B6" i="5"/>
  <c r="H6" i="5" s="1"/>
  <c r="G5" i="5"/>
  <c r="F5" i="5"/>
  <c r="J5" i="5" s="1"/>
  <c r="E5" i="5"/>
  <c r="I5" i="5" s="1"/>
  <c r="D5" i="5"/>
  <c r="K5" i="5" s="1"/>
  <c r="C5" i="5"/>
  <c r="B5" i="5"/>
  <c r="H5" i="5" s="1"/>
  <c r="G4" i="5"/>
  <c r="F4" i="5"/>
  <c r="J4" i="5" s="1"/>
  <c r="E4" i="5"/>
  <c r="I4" i="5" s="1"/>
  <c r="D4" i="5"/>
  <c r="K4" i="5" s="1"/>
  <c r="C4" i="5"/>
  <c r="B4" i="5"/>
  <c r="H4" i="5" s="1"/>
  <c r="G3" i="5"/>
  <c r="F3" i="5"/>
  <c r="J3" i="5" s="1"/>
  <c r="E3" i="5"/>
  <c r="I3" i="5" s="1"/>
  <c r="D3" i="5"/>
  <c r="C3" i="5"/>
  <c r="B3" i="5"/>
  <c r="G2" i="5"/>
  <c r="F2" i="5"/>
  <c r="J2" i="5" s="1"/>
  <c r="E2" i="5"/>
  <c r="I2" i="5" s="1"/>
  <c r="D2" i="5"/>
  <c r="K2" i="5" s="1"/>
  <c r="C2" i="5"/>
  <c r="B2" i="5"/>
  <c r="H2" i="5" s="1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I26" i="4"/>
  <c r="H26" i="4"/>
  <c r="G26" i="4"/>
  <c r="F26" i="4"/>
  <c r="E26" i="4"/>
  <c r="D26" i="4"/>
  <c r="C26" i="4"/>
  <c r="B26" i="4"/>
  <c r="I25" i="4"/>
  <c r="H25" i="4"/>
  <c r="G25" i="4"/>
  <c r="F25" i="4"/>
  <c r="E25" i="4"/>
  <c r="D25" i="4"/>
  <c r="C25" i="4"/>
  <c r="B25" i="4"/>
  <c r="I24" i="4"/>
  <c r="H24" i="4"/>
  <c r="G24" i="4"/>
  <c r="F24" i="4"/>
  <c r="E24" i="4"/>
  <c r="D24" i="4"/>
  <c r="C24" i="4"/>
  <c r="B24" i="4"/>
  <c r="I23" i="4"/>
  <c r="H23" i="4"/>
  <c r="G23" i="4"/>
  <c r="F23" i="4"/>
  <c r="E23" i="4"/>
  <c r="D23" i="4"/>
  <c r="C23" i="4"/>
  <c r="B23" i="4"/>
  <c r="I22" i="4"/>
  <c r="H22" i="4"/>
  <c r="G22" i="4"/>
  <c r="F22" i="4"/>
  <c r="E22" i="4"/>
  <c r="D22" i="4"/>
  <c r="C22" i="4"/>
  <c r="B22" i="4"/>
  <c r="I21" i="4"/>
  <c r="H21" i="4"/>
  <c r="G21" i="4"/>
  <c r="F21" i="4"/>
  <c r="E21" i="4"/>
  <c r="D21" i="4"/>
  <c r="C21" i="4"/>
  <c r="B21" i="4"/>
  <c r="I20" i="4"/>
  <c r="H20" i="4"/>
  <c r="G20" i="4"/>
  <c r="F20" i="4"/>
  <c r="E20" i="4"/>
  <c r="D20" i="4"/>
  <c r="C20" i="4"/>
  <c r="B20" i="4"/>
  <c r="I19" i="4"/>
  <c r="H19" i="4"/>
  <c r="G19" i="4"/>
  <c r="F19" i="4"/>
  <c r="E19" i="4"/>
  <c r="D19" i="4"/>
  <c r="C19" i="4"/>
  <c r="B19" i="4"/>
  <c r="I18" i="4"/>
  <c r="H18" i="4"/>
  <c r="G18" i="4"/>
  <c r="F18" i="4"/>
  <c r="E18" i="4"/>
  <c r="D18" i="4"/>
  <c r="C18" i="4"/>
  <c r="B18" i="4"/>
  <c r="I17" i="4"/>
  <c r="H17" i="4"/>
  <c r="G17" i="4"/>
  <c r="F17" i="4"/>
  <c r="E17" i="4"/>
  <c r="D17" i="4"/>
  <c r="C17" i="4"/>
  <c r="B17" i="4"/>
  <c r="I16" i="4"/>
  <c r="H16" i="4"/>
  <c r="G16" i="4"/>
  <c r="F16" i="4"/>
  <c r="E16" i="4"/>
  <c r="D16" i="4"/>
  <c r="C16" i="4"/>
  <c r="B16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H11" i="4"/>
  <c r="G11" i="4"/>
  <c r="F11" i="4"/>
  <c r="E11" i="4"/>
  <c r="D11" i="4"/>
  <c r="C11" i="4"/>
  <c r="B11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I3" i="4"/>
  <c r="H3" i="4"/>
  <c r="G3" i="4"/>
  <c r="F3" i="4"/>
  <c r="E3" i="4"/>
  <c r="D3" i="4"/>
  <c r="C3" i="4"/>
  <c r="B3" i="4"/>
  <c r="I2" i="4"/>
  <c r="H2" i="4"/>
  <c r="G2" i="4"/>
  <c r="F2" i="4"/>
  <c r="E2" i="4"/>
  <c r="D2" i="4"/>
  <c r="C2" i="4"/>
  <c r="B2" i="4"/>
  <c r="C10" i="3"/>
  <c r="B10" i="3"/>
  <c r="A10" i="3"/>
  <c r="D7" i="3"/>
  <c r="C7" i="3"/>
  <c r="B7" i="3"/>
  <c r="A7" i="3"/>
  <c r="D4" i="3"/>
  <c r="C4" i="3"/>
  <c r="B4" i="3"/>
  <c r="B5" i="6" s="1"/>
  <c r="A4" i="3"/>
  <c r="K3" i="5" l="1"/>
  <c r="H3" i="5"/>
</calcChain>
</file>

<file path=xl/sharedStrings.xml><?xml version="1.0" encoding="utf-8"?>
<sst xmlns="http://schemas.openxmlformats.org/spreadsheetml/2006/main" count="76" uniqueCount="50">
  <si>
    <t>Date</t>
  </si>
  <si>
    <t>Campaign Name</t>
  </si>
  <si>
    <t>Channel</t>
  </si>
  <si>
    <t>Impressions</t>
  </si>
  <si>
    <t>Clicks</t>
  </si>
  <si>
    <t>Cost</t>
  </si>
  <si>
    <t>Leads</t>
  </si>
  <si>
    <t>Conversions</t>
  </si>
  <si>
    <t>Revenue</t>
  </si>
  <si>
    <t>Channels</t>
  </si>
  <si>
    <t>Google Ads</t>
  </si>
  <si>
    <t>Meta Ads</t>
  </si>
  <si>
    <t>LinkedIn</t>
  </si>
  <si>
    <t>Email</t>
  </si>
  <si>
    <t>Organic</t>
  </si>
  <si>
    <t>Referral</t>
  </si>
  <si>
    <t>Display</t>
  </si>
  <si>
    <t>Campaigns</t>
  </si>
  <si>
    <t>Brand Awareness</t>
  </si>
  <si>
    <t>Search - Q4</t>
  </si>
  <si>
    <t>Retargeting</t>
  </si>
  <si>
    <t>Newsletter</t>
  </si>
  <si>
    <t>Campaign Performance Dashboard</t>
  </si>
  <si>
    <t>Total Impressions</t>
  </si>
  <si>
    <t>Total Clicks</t>
  </si>
  <si>
    <t>Total Cost</t>
  </si>
  <si>
    <t>Total Leads</t>
  </si>
  <si>
    <t>Total Conversions</t>
  </si>
  <si>
    <t>Total Revenue</t>
  </si>
  <si>
    <t>CTR</t>
  </si>
  <si>
    <t>CPC</t>
  </si>
  <si>
    <t>CPL</t>
  </si>
  <si>
    <t>CPA</t>
  </si>
  <si>
    <t>ROI</t>
  </si>
  <si>
    <t>Notes: Fill 'Raw Data' sheet. Charts and tables below auto-update.</t>
  </si>
  <si>
    <t>Forecast Leads</t>
  </si>
  <si>
    <t>Forecast Cost</t>
  </si>
  <si>
    <t>Campaign Dashboard</t>
  </si>
  <si>
    <t>Total Impressions:</t>
  </si>
  <si>
    <t>Total Clicks:</t>
  </si>
  <si>
    <t>Total Cost:</t>
  </si>
  <si>
    <t>Total Leads:</t>
  </si>
  <si>
    <t>CPC:</t>
  </si>
  <si>
    <t>CPL:</t>
  </si>
  <si>
    <t>Manual Steps to add Pivot Table &amp; Slicers in Excel</t>
  </si>
  <si>
    <t>1. Select your Raw Data range (including headers).</t>
  </si>
  <si>
    <t>2. Insert -&gt; PivotTable -&gt; New Worksheet or Existing Worksheet.</t>
  </si>
  <si>
    <t>3. Add fields: Rows: Channel/Campaign, Values: Sum of Impressions/Clicks/Cost/Leads.</t>
  </si>
  <si>
    <t>4. To add Slicers: Click inside PivotTable -&gt; PivotTable Analyze -&gt; Insert Slicer -&gt; select Channel and Date.</t>
  </si>
  <si>
    <t>Notes: Creating pivot tables &amp; slicers programmatically is limited in openpyxl. The file provides pivot-ready summaries and formula-driven tables; please follow steps above to create native Excel pivots &amp; slicers.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</si>
</sst>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/>
    <xf numFmtId="165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Daily Impressions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Trends!$B$1</c:f>
              <c:strCache>
                <c:ptCount val="1"/>
                <c:pt idx="0">
                  <c:v>Impressions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Trends!$A$2:$A$31</c:f>
              <c:numCache>
                <c:formatCode>yyyy\-mm\-dd</c:formatCode>
                <c:ptCount val="30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</c:numCache>
            </c:numRef>
          </c:cat>
          <c:val>
            <c:numRef>
              <c:f>Trends!$B$2:$B$31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60000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9-9A4C-A0E9-E2B9A62B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Daily Impressions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Daily Clicks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Trends!$C$1</c:f>
              <c:strCache>
                <c:ptCount val="1"/>
                <c:pt idx="0">
                  <c:v>Clicks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Trends!$A$2:$A$31</c:f>
              <c:numCache>
                <c:formatCode>yyyy\-mm\-dd</c:formatCode>
                <c:ptCount val="30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</c:numCache>
            </c:numRef>
          </c:cat>
          <c:val>
            <c:numRef>
              <c:f>Trends!$C$2:$C$31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3-F94D-B283-E1EB6610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Daily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Daily Leads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Trends!$D$1</c:f>
              <c:strCache>
                <c:ptCount val="1"/>
                <c:pt idx="0">
                  <c:v>Leads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Trends!$A$2:$A$31</c:f>
              <c:numCache>
                <c:formatCode>yyyy\-mm\-dd</c:formatCode>
                <c:ptCount val="30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  <c:pt idx="16">
                  <c:v>45963</c:v>
                </c:pt>
                <c:pt idx="17">
                  <c:v>45964</c:v>
                </c:pt>
                <c:pt idx="18">
                  <c:v>45965</c:v>
                </c:pt>
                <c:pt idx="19">
                  <c:v>45966</c:v>
                </c:pt>
                <c:pt idx="20">
                  <c:v>45967</c:v>
                </c:pt>
                <c:pt idx="21">
                  <c:v>45968</c:v>
                </c:pt>
                <c:pt idx="22">
                  <c:v>45969</c:v>
                </c:pt>
                <c:pt idx="23">
                  <c:v>45970</c:v>
                </c:pt>
                <c:pt idx="24">
                  <c:v>45971</c:v>
                </c:pt>
                <c:pt idx="25">
                  <c:v>45972</c:v>
                </c:pt>
                <c:pt idx="26">
                  <c:v>45973</c:v>
                </c:pt>
                <c:pt idx="27">
                  <c:v>45974</c:v>
                </c:pt>
                <c:pt idx="28">
                  <c:v>45975</c:v>
                </c:pt>
                <c:pt idx="29">
                  <c:v>45976</c:v>
                </c:pt>
              </c:numCache>
            </c:numRef>
          </c:cat>
          <c:val>
            <c:numRef>
              <c:f>Trends!$D$2:$D$31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2-0647-A50A-5298A8AC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Daily 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Cost vs Revenue by Channel (Top listed)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Performance'!$D$1</c:f>
              <c:strCache>
                <c:ptCount val="1"/>
                <c:pt idx="0">
                  <c:v>Cost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'Channel Performance'!$A$2:$A$8</c:f>
              <c:strCache>
                <c:ptCount val="7"/>
                <c:pt idx="0">
                  <c:v>Google Ads</c:v>
                </c:pt>
                <c:pt idx="1">
                  <c:v>Meta Ads</c:v>
                </c:pt>
                <c:pt idx="2">
                  <c:v>LinkedIn</c:v>
                </c:pt>
                <c:pt idx="3">
                  <c:v>Email</c:v>
                </c:pt>
                <c:pt idx="4">
                  <c:v>Organic</c:v>
                </c:pt>
                <c:pt idx="5">
                  <c:v>Referral</c:v>
                </c:pt>
                <c:pt idx="6">
                  <c:v>Display</c:v>
                </c:pt>
              </c:strCache>
            </c:strRef>
          </c:cat>
          <c:val>
            <c:numRef>
              <c:f>'Channel Performance'!$D$2:$D$8</c:f>
              <c:numCache>
                <c:formatCode>General</c:formatCode>
                <c:ptCount val="7"/>
                <c:pt idx="0">
                  <c:v>0</c:v>
                </c:pt>
                <c:pt idx="1">
                  <c:v>17000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5-7945-AD59-B4FEEEA116EC}"/>
            </c:ext>
          </c:extLst>
        </c:ser>
        <c:ser>
          <c:idx val="1"/>
          <c:order val="1"/>
          <c:tx>
            <c:strRef>
              <c:f>'Channel Performance'!$G$1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'Channel Performance'!$A$2:$A$8</c:f>
              <c:strCache>
                <c:ptCount val="7"/>
                <c:pt idx="0">
                  <c:v>Google Ads</c:v>
                </c:pt>
                <c:pt idx="1">
                  <c:v>Meta Ads</c:v>
                </c:pt>
                <c:pt idx="2">
                  <c:v>LinkedIn</c:v>
                </c:pt>
                <c:pt idx="3">
                  <c:v>Email</c:v>
                </c:pt>
                <c:pt idx="4">
                  <c:v>Organic</c:v>
                </c:pt>
                <c:pt idx="5">
                  <c:v>Referral</c:v>
                </c:pt>
                <c:pt idx="6">
                  <c:v>Display</c:v>
                </c:pt>
              </c:strCache>
            </c:strRef>
          </c:cat>
          <c:val>
            <c:numRef>
              <c:f>'Channel Performance'!$G$2:$G$8</c:f>
              <c:numCache>
                <c:formatCode>General</c:formatCode>
                <c:ptCount val="7"/>
                <c:pt idx="0">
                  <c:v>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5-7945-AD59-B4FEEEA11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L8" sqref="L8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0" customWidth="1"/>
    <col min="4" max="4" width="12" customWidth="1"/>
    <col min="5" max="5" width="10" customWidth="1"/>
    <col min="6" max="6" width="12" customWidth="1"/>
    <col min="7" max="7" width="10" customWidth="1"/>
    <col min="8" max="9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 x14ac:dyDescent="0.2">
      <c r="A2" s="13">
        <v>45968</v>
      </c>
      <c r="B2" s="2"/>
      <c r="C2" s="2" t="s">
        <v>11</v>
      </c>
      <c r="D2" s="2">
        <v>60000</v>
      </c>
      <c r="E2" s="2">
        <v>300</v>
      </c>
      <c r="F2" s="2">
        <v>17000</v>
      </c>
      <c r="G2" s="2">
        <v>146</v>
      </c>
      <c r="H2" s="2">
        <v>2</v>
      </c>
      <c r="I2" s="2">
        <v>200000</v>
      </c>
      <c r="J2" s="2"/>
      <c r="K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Lists!$A$2:$A$10</xm:f>
          </x14:formula1>
          <xm:sqref>C2:C1000</xm:sqref>
        </x14:dataValidation>
        <x14:dataValidation type="list" allowBlank="1" showInputMessage="1" showErrorMessage="1" xr:uid="{00000000-0002-0000-0000-000001000000}">
          <x14:formula1>
            <xm:f>Lists!$A$13:$A$30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 t="s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sqref="A1:H1"/>
    </sheetView>
  </sheetViews>
  <sheetFormatPr baseColWidth="10" defaultColWidth="8.83203125" defaultRowHeight="15" x14ac:dyDescent="0.2"/>
  <cols>
    <col min="2" max="2" width="12.1640625" bestFit="1" customWidth="1"/>
  </cols>
  <sheetData>
    <row r="1" spans="1:11" x14ac:dyDescent="0.2">
      <c r="A1" s="9" t="s">
        <v>22</v>
      </c>
      <c r="B1" s="10"/>
      <c r="C1" s="10"/>
      <c r="D1" s="10"/>
      <c r="E1" s="10"/>
      <c r="F1" s="10"/>
      <c r="G1" s="10"/>
      <c r="H1" s="10"/>
      <c r="I1" s="2"/>
      <c r="J1" s="2"/>
      <c r="K1" s="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3" t="s">
        <v>23</v>
      </c>
      <c r="B3" s="3" t="s">
        <v>24</v>
      </c>
      <c r="C3" s="3" t="s">
        <v>25</v>
      </c>
      <c r="D3" s="3" t="s">
        <v>26</v>
      </c>
      <c r="E3" s="2"/>
      <c r="F3" s="2"/>
      <c r="G3" s="2"/>
      <c r="H3" s="2"/>
      <c r="I3" s="2"/>
      <c r="J3" s="2"/>
      <c r="K3" s="2"/>
    </row>
    <row r="4" spans="1:11" ht="16" x14ac:dyDescent="0.2">
      <c r="A4" s="4">
        <f>SUM('Raw Data'!D:D)</f>
        <v>60000</v>
      </c>
      <c r="B4" s="4">
        <f>SUM('Raw Data'!E:E)</f>
        <v>300</v>
      </c>
      <c r="C4" s="5">
        <f>SUM('Raw Data'!F:F)</f>
        <v>17000</v>
      </c>
      <c r="D4" s="4">
        <f>SUM('Raw Data'!G:G)</f>
        <v>146</v>
      </c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3" t="s">
        <v>27</v>
      </c>
      <c r="B6" s="3" t="s">
        <v>28</v>
      </c>
      <c r="C6" s="3" t="s">
        <v>29</v>
      </c>
      <c r="D6" s="3" t="s">
        <v>30</v>
      </c>
      <c r="E6" s="2"/>
      <c r="F6" s="2"/>
      <c r="G6" s="2"/>
      <c r="H6" s="2"/>
      <c r="I6" s="2"/>
      <c r="J6" s="2"/>
      <c r="K6" s="2"/>
    </row>
    <row r="7" spans="1:11" ht="16" x14ac:dyDescent="0.2">
      <c r="A7" s="4">
        <f>SUM('Raw Data'!H:H)</f>
        <v>2</v>
      </c>
      <c r="B7" s="5">
        <f>SUM('Raw Data'!I:I)</f>
        <v>200000</v>
      </c>
      <c r="C7" s="6">
        <f>IF(SUM('Raw Data'!D:D)=0,0,SUM('Raw Data'!E:E)/SUM('Raw Data'!D:D))</f>
        <v>5.0000000000000001E-3</v>
      </c>
      <c r="D7" s="5">
        <f>IF(SUM('Raw Data'!E:E)=0,0,SUM('Raw Data'!F:F)/SUM('Raw Data'!E:E))</f>
        <v>56.666666666666664</v>
      </c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3" t="s">
        <v>31</v>
      </c>
      <c r="B9" s="3" t="s">
        <v>32</v>
      </c>
      <c r="C9" s="3" t="s">
        <v>33</v>
      </c>
      <c r="D9" s="2"/>
      <c r="E9" s="2"/>
      <c r="F9" s="2"/>
      <c r="G9" s="2"/>
      <c r="H9" s="2"/>
      <c r="I9" s="2"/>
      <c r="J9" s="2"/>
      <c r="K9" s="2"/>
    </row>
    <row r="10" spans="1:11" ht="16" x14ac:dyDescent="0.2">
      <c r="A10" s="5">
        <f>IF(SUM('Raw Data'!G:G)=0,0,SUM('Raw Data'!F:F)/SUM('Raw Data'!G:G))</f>
        <v>116.43835616438356</v>
      </c>
      <c r="B10" s="5">
        <f>IF(SUM('Raw Data'!H:H)=0,0,SUM('Raw Data'!F:F)/SUM('Raw Data'!H:H))</f>
        <v>8500</v>
      </c>
      <c r="C10" s="6">
        <f>IF(SUM('Raw Data'!F:F)=0,0,(SUM('Raw Data'!I:I)-SUM('Raw Data'!F:F))/SUM('Raw Data'!F:F))</f>
        <v>10.764705882352942</v>
      </c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11" t="s">
        <v>34</v>
      </c>
      <c r="B12" s="12"/>
      <c r="C12" s="12"/>
      <c r="D12" s="12"/>
      <c r="E12" s="12"/>
      <c r="F12" s="12"/>
      <c r="G12" s="12"/>
      <c r="H12" s="1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2">
    <mergeCell ref="A1:H1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topLeftCell="A24" workbookViewId="0">
      <selection activeCell="H23" sqref="H23"/>
    </sheetView>
  </sheetViews>
  <sheetFormatPr baseColWidth="10" defaultColWidth="8.83203125" defaultRowHeight="15" x14ac:dyDescent="0.2"/>
  <cols>
    <col min="1" max="1" width="10.1640625" bestFit="1" customWidth="1"/>
    <col min="8" max="8" width="12.33203125" bestFit="1" customWidth="1"/>
  </cols>
  <sheetData>
    <row r="1" spans="1:11" x14ac:dyDescent="0.2">
      <c r="A1" s="1" t="s">
        <v>0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7</v>
      </c>
      <c r="G1" s="1" t="s">
        <v>8</v>
      </c>
      <c r="H1" s="1" t="s">
        <v>35</v>
      </c>
      <c r="I1" s="1" t="s">
        <v>36</v>
      </c>
      <c r="J1" s="2"/>
      <c r="K1" s="2"/>
    </row>
    <row r="2" spans="1:11" x14ac:dyDescent="0.2">
      <c r="A2" s="7">
        <v>45947</v>
      </c>
      <c r="B2" s="2">
        <f>SUMIFS('Raw Data'!D:D,'Raw Data'!A:A,A2)</f>
        <v>0</v>
      </c>
      <c r="C2" s="2">
        <f>SUMIFS('Raw Data'!E:E,'Raw Data'!A:A,A2)</f>
        <v>0</v>
      </c>
      <c r="D2" s="2">
        <f>SUMIFS('Raw Data'!G:G,'Raw Data'!A:A,A2)</f>
        <v>0</v>
      </c>
      <c r="E2" s="2">
        <f>SUMIFS('Raw Data'!F:F,'Raw Data'!A:A,A2)</f>
        <v>0</v>
      </c>
      <c r="F2" s="2">
        <f>SUMIFS('Raw Data'!H:H,'Raw Data'!A:A,A2)</f>
        <v>0</v>
      </c>
      <c r="G2" s="2">
        <f>SUMIFS('Raw Data'!I:I,'Raw Data'!A:A,A2)</f>
        <v>0</v>
      </c>
      <c r="H2" s="2" t="e">
        <f ca="1">IF(COUNTA(A2:A15)&lt;2,"",_xludf.FORECAST.LINEAR(A2,C2:C15,A2:A15))</f>
        <v>#NAME?</v>
      </c>
      <c r="I2" s="2" t="e">
        <f ca="1">IF(COUNTA(A2:A15)&lt;2,"",_xludf.FORECAST.LINEAR(A2,D2:D15,A2:A15))</f>
        <v>#NAME?</v>
      </c>
      <c r="J2" s="2"/>
      <c r="K2" s="2"/>
    </row>
    <row r="3" spans="1:11" x14ac:dyDescent="0.2">
      <c r="A3" s="7">
        <v>45948</v>
      </c>
      <c r="B3" s="2">
        <f>SUMIFS('Raw Data'!D:D,'Raw Data'!A:A,A3)</f>
        <v>0</v>
      </c>
      <c r="C3" s="2">
        <f>SUMIFS('Raw Data'!E:E,'Raw Data'!A:A,A3)</f>
        <v>0</v>
      </c>
      <c r="D3" s="2">
        <f>SUMIFS('Raw Data'!G:G,'Raw Data'!A:A,A3)</f>
        <v>0</v>
      </c>
      <c r="E3" s="2">
        <f>SUMIFS('Raw Data'!F:F,'Raw Data'!A:A,A3)</f>
        <v>0</v>
      </c>
      <c r="F3" s="2">
        <f>SUMIFS('Raw Data'!H:H,'Raw Data'!A:A,A3)</f>
        <v>0</v>
      </c>
      <c r="G3" s="2">
        <f>SUMIFS('Raw Data'!I:I,'Raw Data'!A:A,A3)</f>
        <v>0</v>
      </c>
      <c r="H3" s="2" t="e">
        <f ca="1">IF(COUNTA(A2:A15)&lt;2,"",_xludf.FORECAST.LINEAR(A3,C2:C15,A2:A15))</f>
        <v>#NAME?</v>
      </c>
      <c r="I3" s="2" t="e">
        <f ca="1">IF(COUNTA(A2:A15)&lt;2,"",_xludf.FORECAST.LINEAR(A3,D2:D15,A2:A15))</f>
        <v>#NAME?</v>
      </c>
      <c r="J3" s="2"/>
      <c r="K3" s="2"/>
    </row>
    <row r="4" spans="1:11" x14ac:dyDescent="0.2">
      <c r="A4" s="7">
        <v>45949</v>
      </c>
      <c r="B4" s="2">
        <f>SUMIFS('Raw Data'!D:D,'Raw Data'!A:A,A4)</f>
        <v>0</v>
      </c>
      <c r="C4" s="2">
        <f>SUMIFS('Raw Data'!E:E,'Raw Data'!A:A,A4)</f>
        <v>0</v>
      </c>
      <c r="D4" s="2">
        <f>SUMIFS('Raw Data'!G:G,'Raw Data'!A:A,A4)</f>
        <v>0</v>
      </c>
      <c r="E4" s="2">
        <f>SUMIFS('Raw Data'!F:F,'Raw Data'!A:A,A4)</f>
        <v>0</v>
      </c>
      <c r="F4" s="2">
        <f>SUMIFS('Raw Data'!H:H,'Raw Data'!A:A,A4)</f>
        <v>0</v>
      </c>
      <c r="G4" s="2">
        <f>SUMIFS('Raw Data'!I:I,'Raw Data'!A:A,A4)</f>
        <v>0</v>
      </c>
      <c r="H4" s="2" t="e">
        <f ca="1">IF(COUNTA(A2:A15)&lt;2,"",_xludf.FORECAST.LINEAR(A4,C2:C15,A2:A15))</f>
        <v>#NAME?</v>
      </c>
      <c r="I4" s="2" t="e">
        <f ca="1">IF(COUNTA(A2:A15)&lt;2,"",_xludf.FORECAST.LINEAR(A4,D2:D15,A2:A15))</f>
        <v>#NAME?</v>
      </c>
      <c r="J4" s="2"/>
      <c r="K4" s="2"/>
    </row>
    <row r="5" spans="1:11" x14ac:dyDescent="0.2">
      <c r="A5" s="7">
        <v>45950</v>
      </c>
      <c r="B5" s="2">
        <f>SUMIFS('Raw Data'!D:D,'Raw Data'!A:A,A5)</f>
        <v>0</v>
      </c>
      <c r="C5" s="2">
        <f>SUMIFS('Raw Data'!E:E,'Raw Data'!A:A,A5)</f>
        <v>0</v>
      </c>
      <c r="D5" s="2">
        <f>SUMIFS('Raw Data'!G:G,'Raw Data'!A:A,A5)</f>
        <v>0</v>
      </c>
      <c r="E5" s="2">
        <f>SUMIFS('Raw Data'!F:F,'Raw Data'!A:A,A5)</f>
        <v>0</v>
      </c>
      <c r="F5" s="2">
        <f>SUMIFS('Raw Data'!H:H,'Raw Data'!A:A,A5)</f>
        <v>0</v>
      </c>
      <c r="G5" s="2">
        <f>SUMIFS('Raw Data'!I:I,'Raw Data'!A:A,A5)</f>
        <v>0</v>
      </c>
      <c r="H5" s="2" t="e">
        <f ca="1">IF(COUNTA(A2:A15)&lt;2,"",_xludf.FORECAST.LINEAR(A5,C2:C15,A2:A15))</f>
        <v>#NAME?</v>
      </c>
      <c r="I5" s="2" t="e">
        <f ca="1">IF(COUNTA(A2:A15)&lt;2,"",_xludf.FORECAST.LINEAR(A5,D2:D15,A2:A15))</f>
        <v>#NAME?</v>
      </c>
      <c r="J5" s="2"/>
      <c r="K5" s="2"/>
    </row>
    <row r="6" spans="1:11" x14ac:dyDescent="0.2">
      <c r="A6" s="7">
        <v>45951</v>
      </c>
      <c r="B6" s="2">
        <f>SUMIFS('Raw Data'!D:D,'Raw Data'!A:A,A6)</f>
        <v>0</v>
      </c>
      <c r="C6" s="2">
        <f>SUMIFS('Raw Data'!E:E,'Raw Data'!A:A,A6)</f>
        <v>0</v>
      </c>
      <c r="D6" s="2">
        <f>SUMIFS('Raw Data'!G:G,'Raw Data'!A:A,A6)</f>
        <v>0</v>
      </c>
      <c r="E6" s="2">
        <f>SUMIFS('Raw Data'!F:F,'Raw Data'!A:A,A6)</f>
        <v>0</v>
      </c>
      <c r="F6" s="2">
        <f>SUMIFS('Raw Data'!H:H,'Raw Data'!A:A,A6)</f>
        <v>0</v>
      </c>
      <c r="G6" s="2">
        <f>SUMIFS('Raw Data'!I:I,'Raw Data'!A:A,A6)</f>
        <v>0</v>
      </c>
      <c r="H6" s="2" t="e">
        <f ca="1">IF(COUNTA(A2:A15)&lt;2,"",_xludf.FORECAST.LINEAR(A6,C2:C15,A2:A15))</f>
        <v>#NAME?</v>
      </c>
      <c r="I6" s="2" t="e">
        <f ca="1">IF(COUNTA(A2:A15)&lt;2,"",_xludf.FORECAST.LINEAR(A6,D2:D15,A2:A15))</f>
        <v>#NAME?</v>
      </c>
      <c r="J6" s="2"/>
      <c r="K6" s="2"/>
    </row>
    <row r="7" spans="1:11" x14ac:dyDescent="0.2">
      <c r="A7" s="7">
        <v>45952</v>
      </c>
      <c r="B7" s="2">
        <f>SUMIFS('Raw Data'!D:D,'Raw Data'!A:A,A7)</f>
        <v>0</v>
      </c>
      <c r="C7" s="2">
        <f>SUMIFS('Raw Data'!E:E,'Raw Data'!A:A,A7)</f>
        <v>0</v>
      </c>
      <c r="D7" s="2">
        <f>SUMIFS('Raw Data'!G:G,'Raw Data'!A:A,A7)</f>
        <v>0</v>
      </c>
      <c r="E7" s="2">
        <f>SUMIFS('Raw Data'!F:F,'Raw Data'!A:A,A7)</f>
        <v>0</v>
      </c>
      <c r="F7" s="2">
        <f>SUMIFS('Raw Data'!H:H,'Raw Data'!A:A,A7)</f>
        <v>0</v>
      </c>
      <c r="G7" s="2">
        <f>SUMIFS('Raw Data'!I:I,'Raw Data'!A:A,A7)</f>
        <v>0</v>
      </c>
      <c r="H7" s="2" t="e">
        <f ca="1">IF(COUNTA(A2:A15)&lt;2,"",_xludf.FORECAST.LINEAR(A7,C2:C15,A2:A15))</f>
        <v>#NAME?</v>
      </c>
      <c r="I7" s="2" t="e">
        <f ca="1">IF(COUNTA(A2:A15)&lt;2,"",_xludf.FORECAST.LINEAR(A7,D2:D15,A2:A15))</f>
        <v>#NAME?</v>
      </c>
      <c r="J7" s="2"/>
      <c r="K7" s="2"/>
    </row>
    <row r="8" spans="1:11" x14ac:dyDescent="0.2">
      <c r="A8" s="7">
        <v>45953</v>
      </c>
      <c r="B8" s="2">
        <f>SUMIFS('Raw Data'!D:D,'Raw Data'!A:A,A8)</f>
        <v>0</v>
      </c>
      <c r="C8" s="2">
        <f>SUMIFS('Raw Data'!E:E,'Raw Data'!A:A,A8)</f>
        <v>0</v>
      </c>
      <c r="D8" s="2">
        <f>SUMIFS('Raw Data'!G:G,'Raw Data'!A:A,A8)</f>
        <v>0</v>
      </c>
      <c r="E8" s="2">
        <f>SUMIFS('Raw Data'!F:F,'Raw Data'!A:A,A8)</f>
        <v>0</v>
      </c>
      <c r="F8" s="2">
        <f>SUMIFS('Raw Data'!H:H,'Raw Data'!A:A,A8)</f>
        <v>0</v>
      </c>
      <c r="G8" s="2">
        <f>SUMIFS('Raw Data'!I:I,'Raw Data'!A:A,A8)</f>
        <v>0</v>
      </c>
      <c r="H8" s="2" t="e">
        <f ca="1">IF(COUNTA(A2:A15)&lt;2,"",_xludf.FORECAST.LINEAR(A8,C2:C15,A2:A15))</f>
        <v>#NAME?</v>
      </c>
      <c r="I8" s="2" t="e">
        <f ca="1">IF(COUNTA(A2:A15)&lt;2,"",_xludf.FORECAST.LINEAR(A8,D2:D15,A2:A15))</f>
        <v>#NAME?</v>
      </c>
      <c r="J8" s="2"/>
      <c r="K8" s="2"/>
    </row>
    <row r="9" spans="1:11" x14ac:dyDescent="0.2">
      <c r="A9" s="7">
        <v>45954</v>
      </c>
      <c r="B9" s="2">
        <f>SUMIFS('Raw Data'!D:D,'Raw Data'!A:A,A9)</f>
        <v>0</v>
      </c>
      <c r="C9" s="2">
        <f>SUMIFS('Raw Data'!E:E,'Raw Data'!A:A,A9)</f>
        <v>0</v>
      </c>
      <c r="D9" s="2">
        <f>SUMIFS('Raw Data'!G:G,'Raw Data'!A:A,A9)</f>
        <v>0</v>
      </c>
      <c r="E9" s="2">
        <f>SUMIFS('Raw Data'!F:F,'Raw Data'!A:A,A9)</f>
        <v>0</v>
      </c>
      <c r="F9" s="2">
        <f>SUMIFS('Raw Data'!H:H,'Raw Data'!A:A,A9)</f>
        <v>0</v>
      </c>
      <c r="G9" s="2">
        <f>SUMIFS('Raw Data'!I:I,'Raw Data'!A:A,A9)</f>
        <v>0</v>
      </c>
      <c r="H9" s="2" t="e">
        <f ca="1">IF(COUNTA(A2:A15)&lt;2,"",_xludf.FORECAST.LINEAR(A9,C2:C15,A2:A15))</f>
        <v>#NAME?</v>
      </c>
      <c r="I9" s="2" t="e">
        <f ca="1">IF(COUNTA(A2:A15)&lt;2,"",_xludf.FORECAST.LINEAR(A9,D2:D15,A2:A15))</f>
        <v>#NAME?</v>
      </c>
      <c r="J9" s="2"/>
      <c r="K9" s="2"/>
    </row>
    <row r="10" spans="1:11" x14ac:dyDescent="0.2">
      <c r="A10" s="7">
        <v>45955</v>
      </c>
      <c r="B10" s="2">
        <f>SUMIFS('Raw Data'!D:D,'Raw Data'!A:A,A10)</f>
        <v>0</v>
      </c>
      <c r="C10" s="2">
        <f>SUMIFS('Raw Data'!E:E,'Raw Data'!A:A,A10)</f>
        <v>0</v>
      </c>
      <c r="D10" s="2">
        <f>SUMIFS('Raw Data'!G:G,'Raw Data'!A:A,A10)</f>
        <v>0</v>
      </c>
      <c r="E10" s="2">
        <f>SUMIFS('Raw Data'!F:F,'Raw Data'!A:A,A10)</f>
        <v>0</v>
      </c>
      <c r="F10" s="2">
        <f>SUMIFS('Raw Data'!H:H,'Raw Data'!A:A,A10)</f>
        <v>0</v>
      </c>
      <c r="G10" s="2">
        <f>SUMIFS('Raw Data'!I:I,'Raw Data'!A:A,A10)</f>
        <v>0</v>
      </c>
      <c r="H10" s="2" t="e">
        <f ca="1">IF(COUNTA(A2:A15)&lt;2,"",_xludf.FORECAST.LINEAR(A10,C2:C15,A2:A15))</f>
        <v>#NAME?</v>
      </c>
      <c r="I10" s="2" t="e">
        <f ca="1">IF(COUNTA(A2:A15)&lt;2,"",_xludf.FORECAST.LINEAR(A10,D2:D15,A2:A15))</f>
        <v>#NAME?</v>
      </c>
      <c r="J10" s="2"/>
      <c r="K10" s="2"/>
    </row>
    <row r="11" spans="1:11" x14ac:dyDescent="0.2">
      <c r="A11" s="7">
        <v>45956</v>
      </c>
      <c r="B11" s="2">
        <f>SUMIFS('Raw Data'!D:D,'Raw Data'!A:A,A11)</f>
        <v>0</v>
      </c>
      <c r="C11" s="2">
        <f>SUMIFS('Raw Data'!E:E,'Raw Data'!A:A,A11)</f>
        <v>0</v>
      </c>
      <c r="D11" s="2">
        <f>SUMIFS('Raw Data'!G:G,'Raw Data'!A:A,A11)</f>
        <v>0</v>
      </c>
      <c r="E11" s="2">
        <f>SUMIFS('Raw Data'!F:F,'Raw Data'!A:A,A11)</f>
        <v>0</v>
      </c>
      <c r="F11" s="2">
        <f>SUMIFS('Raw Data'!H:H,'Raw Data'!A:A,A11)</f>
        <v>0</v>
      </c>
      <c r="G11" s="2">
        <f>SUMIFS('Raw Data'!I:I,'Raw Data'!A:A,A11)</f>
        <v>0</v>
      </c>
      <c r="H11" s="2" t="e">
        <f ca="1">IF(COUNTA(A2:A15)&lt;2,"",_xludf.FORECAST.LINEAR(A11,C2:C15,A2:A15))</f>
        <v>#NAME?</v>
      </c>
      <c r="I11" s="2" t="e">
        <f ca="1">IF(COUNTA(A2:A15)&lt;2,"",_xludf.FORECAST.LINEAR(A11,D2:D15,A2:A15))</f>
        <v>#NAME?</v>
      </c>
      <c r="J11" s="2"/>
      <c r="K11" s="2"/>
    </row>
    <row r="12" spans="1:11" x14ac:dyDescent="0.2">
      <c r="A12" s="7">
        <v>45957</v>
      </c>
      <c r="B12" s="2">
        <f>SUMIFS('Raw Data'!D:D,'Raw Data'!A:A,A12)</f>
        <v>0</v>
      </c>
      <c r="C12" s="2">
        <f>SUMIFS('Raw Data'!E:E,'Raw Data'!A:A,A12)</f>
        <v>0</v>
      </c>
      <c r="D12" s="2">
        <f>SUMIFS('Raw Data'!G:G,'Raw Data'!A:A,A12)</f>
        <v>0</v>
      </c>
      <c r="E12" s="2">
        <f>SUMIFS('Raw Data'!F:F,'Raw Data'!A:A,A12)</f>
        <v>0</v>
      </c>
      <c r="F12" s="2">
        <f>SUMIFS('Raw Data'!H:H,'Raw Data'!A:A,A12)</f>
        <v>0</v>
      </c>
      <c r="G12" s="2">
        <f>SUMIFS('Raw Data'!I:I,'Raw Data'!A:A,A12)</f>
        <v>0</v>
      </c>
      <c r="H12" s="2" t="e">
        <f ca="1">IF(COUNTA(A2:A15)&lt;2,"",_xludf.FORECAST.LINEAR(A12,C2:C15,A2:A15))</f>
        <v>#NAME?</v>
      </c>
      <c r="I12" s="2" t="e">
        <f ca="1">IF(COUNTA(A2:A15)&lt;2,"",_xludf.FORECAST.LINEAR(A12,D2:D15,A2:A15))</f>
        <v>#NAME?</v>
      </c>
      <c r="J12" s="2"/>
      <c r="K12" s="2"/>
    </row>
    <row r="13" spans="1:11" x14ac:dyDescent="0.2">
      <c r="A13" s="7">
        <v>45958</v>
      </c>
      <c r="B13" s="2">
        <f>SUMIFS('Raw Data'!D:D,'Raw Data'!A:A,A13)</f>
        <v>0</v>
      </c>
      <c r="C13" s="2">
        <f>SUMIFS('Raw Data'!E:E,'Raw Data'!A:A,A13)</f>
        <v>0</v>
      </c>
      <c r="D13" s="2">
        <f>SUMIFS('Raw Data'!G:G,'Raw Data'!A:A,A13)</f>
        <v>0</v>
      </c>
      <c r="E13" s="2">
        <f>SUMIFS('Raw Data'!F:F,'Raw Data'!A:A,A13)</f>
        <v>0</v>
      </c>
      <c r="F13" s="2">
        <f>SUMIFS('Raw Data'!H:H,'Raw Data'!A:A,A13)</f>
        <v>0</v>
      </c>
      <c r="G13" s="2">
        <f>SUMIFS('Raw Data'!I:I,'Raw Data'!A:A,A13)</f>
        <v>0</v>
      </c>
      <c r="H13" s="2" t="e">
        <f ca="1">IF(COUNTA(A2:A15)&lt;2,"",_xludf.FORECAST.LINEAR(A13,C2:C15,A2:A15))</f>
        <v>#NAME?</v>
      </c>
      <c r="I13" s="2" t="e">
        <f ca="1">IF(COUNTA(A2:A15)&lt;2,"",_xludf.FORECAST.LINEAR(A13,D2:D15,A2:A15))</f>
        <v>#NAME?</v>
      </c>
      <c r="J13" s="2"/>
      <c r="K13" s="2"/>
    </row>
    <row r="14" spans="1:11" x14ac:dyDescent="0.2">
      <c r="A14" s="7">
        <v>45959</v>
      </c>
      <c r="B14" s="2">
        <f>SUMIFS('Raw Data'!D:D,'Raw Data'!A:A,A14)</f>
        <v>0</v>
      </c>
      <c r="C14" s="2">
        <f>SUMIFS('Raw Data'!E:E,'Raw Data'!A:A,A14)</f>
        <v>0</v>
      </c>
      <c r="D14" s="2">
        <f>SUMIFS('Raw Data'!G:G,'Raw Data'!A:A,A14)</f>
        <v>0</v>
      </c>
      <c r="E14" s="2">
        <f>SUMIFS('Raw Data'!F:F,'Raw Data'!A:A,A14)</f>
        <v>0</v>
      </c>
      <c r="F14" s="2">
        <f>SUMIFS('Raw Data'!H:H,'Raw Data'!A:A,A14)</f>
        <v>0</v>
      </c>
      <c r="G14" s="2">
        <f>SUMIFS('Raw Data'!I:I,'Raw Data'!A:A,A14)</f>
        <v>0</v>
      </c>
      <c r="H14" s="2" t="e">
        <f ca="1">IF(COUNTA(A2:A15)&lt;2,"",_xludf.FORECAST.LINEAR(A14,C2:C15,A2:A15))</f>
        <v>#NAME?</v>
      </c>
      <c r="I14" s="2" t="e">
        <f ca="1">IF(COUNTA(A2:A15)&lt;2,"",_xludf.FORECAST.LINEAR(A14,D2:D15,A2:A15))</f>
        <v>#NAME?</v>
      </c>
      <c r="J14" s="2"/>
      <c r="K14" s="2"/>
    </row>
    <row r="15" spans="1:11" x14ac:dyDescent="0.2">
      <c r="A15" s="7">
        <v>45960</v>
      </c>
      <c r="B15" s="2">
        <f>SUMIFS('Raw Data'!D:D,'Raw Data'!A:A,A15)</f>
        <v>0</v>
      </c>
      <c r="C15" s="2">
        <f>SUMIFS('Raw Data'!E:E,'Raw Data'!A:A,A15)</f>
        <v>0</v>
      </c>
      <c r="D15" s="2">
        <f>SUMIFS('Raw Data'!G:G,'Raw Data'!A:A,A15)</f>
        <v>0</v>
      </c>
      <c r="E15" s="2">
        <f>SUMIFS('Raw Data'!F:F,'Raw Data'!A:A,A15)</f>
        <v>0</v>
      </c>
      <c r="F15" s="2">
        <f>SUMIFS('Raw Data'!H:H,'Raw Data'!A:A,A15)</f>
        <v>0</v>
      </c>
      <c r="G15" s="2">
        <f>SUMIFS('Raw Data'!I:I,'Raw Data'!A:A,A15)</f>
        <v>0</v>
      </c>
      <c r="H15" s="2" t="e">
        <f ca="1">IF(COUNTA(A2:A15)&lt;2,"",_xludf.FORECAST.LINEAR(A15,C2:C15,A2:A15))</f>
        <v>#NAME?</v>
      </c>
      <c r="I15" s="2" t="e">
        <f ca="1">IF(COUNTA(A2:A15)&lt;2,"",_xludf.FORECAST.LINEAR(A15,D2:D15,A2:A15))</f>
        <v>#NAME?</v>
      </c>
      <c r="J15" s="2"/>
      <c r="K15" s="2"/>
    </row>
    <row r="16" spans="1:11" x14ac:dyDescent="0.2">
      <c r="A16" s="7">
        <v>45961</v>
      </c>
      <c r="B16" s="2">
        <f>SUMIFS('Raw Data'!D:D,'Raw Data'!A:A,A16)</f>
        <v>0</v>
      </c>
      <c r="C16" s="2">
        <f>SUMIFS('Raw Data'!E:E,'Raw Data'!A:A,A16)</f>
        <v>0</v>
      </c>
      <c r="D16" s="2">
        <f>SUMIFS('Raw Data'!G:G,'Raw Data'!A:A,A16)</f>
        <v>0</v>
      </c>
      <c r="E16" s="2">
        <f>SUMIFS('Raw Data'!F:F,'Raw Data'!A:A,A16)</f>
        <v>0</v>
      </c>
      <c r="F16" s="2">
        <f>SUMIFS('Raw Data'!H:H,'Raw Data'!A:A,A16)</f>
        <v>0</v>
      </c>
      <c r="G16" s="2">
        <f>SUMIFS('Raw Data'!I:I,'Raw Data'!A:A,A16)</f>
        <v>0</v>
      </c>
      <c r="H16" s="2" t="e">
        <f ca="1">IF(COUNTA(A2:A15)&lt;2,"",_xludf.FORECAST.LINEAR(A16,C2:C15,A2:A15))</f>
        <v>#NAME?</v>
      </c>
      <c r="I16" s="2" t="e">
        <f ca="1">IF(COUNTA(A2:A15)&lt;2,"",_xludf.FORECAST.LINEAR(A16,D2:D15,A2:A15))</f>
        <v>#NAME?</v>
      </c>
      <c r="J16" s="2"/>
      <c r="K16" s="2"/>
    </row>
    <row r="17" spans="1:11" x14ac:dyDescent="0.2">
      <c r="A17" s="7">
        <v>45962</v>
      </c>
      <c r="B17" s="2">
        <f>SUMIFS('Raw Data'!D:D,'Raw Data'!A:A,A17)</f>
        <v>0</v>
      </c>
      <c r="C17" s="2">
        <f>SUMIFS('Raw Data'!E:E,'Raw Data'!A:A,A17)</f>
        <v>0</v>
      </c>
      <c r="D17" s="2">
        <f>SUMIFS('Raw Data'!G:G,'Raw Data'!A:A,A17)</f>
        <v>0</v>
      </c>
      <c r="E17" s="2">
        <f>SUMIFS('Raw Data'!F:F,'Raw Data'!A:A,A17)</f>
        <v>0</v>
      </c>
      <c r="F17" s="2">
        <f>SUMIFS('Raw Data'!H:H,'Raw Data'!A:A,A17)</f>
        <v>0</v>
      </c>
      <c r="G17" s="2">
        <f>SUMIFS('Raw Data'!I:I,'Raw Data'!A:A,A17)</f>
        <v>0</v>
      </c>
      <c r="H17" s="2" t="e">
        <f ca="1">IF(COUNTA(A2:A15)&lt;2,"",_xludf.FORECAST.LINEAR(A17,C2:C15,A2:A15))</f>
        <v>#NAME?</v>
      </c>
      <c r="I17" s="2" t="e">
        <f ca="1">IF(COUNTA(A2:A15)&lt;2,"",_xludf.FORECAST.LINEAR(A17,D2:D15,A2:A15))</f>
        <v>#NAME?</v>
      </c>
      <c r="J17" s="2"/>
      <c r="K17" s="2"/>
    </row>
    <row r="18" spans="1:11" x14ac:dyDescent="0.2">
      <c r="A18" s="7">
        <v>45963</v>
      </c>
      <c r="B18" s="2">
        <f>SUMIFS('Raw Data'!D:D,'Raw Data'!A:A,A18)</f>
        <v>0</v>
      </c>
      <c r="C18" s="2">
        <f>SUMIFS('Raw Data'!E:E,'Raw Data'!A:A,A18)</f>
        <v>0</v>
      </c>
      <c r="D18" s="2">
        <f>SUMIFS('Raw Data'!G:G,'Raw Data'!A:A,A18)</f>
        <v>0</v>
      </c>
      <c r="E18" s="2">
        <f>SUMIFS('Raw Data'!F:F,'Raw Data'!A:A,A18)</f>
        <v>0</v>
      </c>
      <c r="F18" s="2">
        <f>SUMIFS('Raw Data'!H:H,'Raw Data'!A:A,A18)</f>
        <v>0</v>
      </c>
      <c r="G18" s="2">
        <f>SUMIFS('Raw Data'!I:I,'Raw Data'!A:A,A18)</f>
        <v>0</v>
      </c>
      <c r="H18" s="2" t="e">
        <f ca="1">IF(COUNTA(A2:A15)&lt;2,"",_xludf.FORECAST.LINEAR(A18,C2:C15,A2:A15))</f>
        <v>#NAME?</v>
      </c>
      <c r="I18" s="2" t="e">
        <f ca="1">IF(COUNTA(A2:A15)&lt;2,"",_xludf.FORECAST.LINEAR(A18,D2:D15,A2:A15))</f>
        <v>#NAME?</v>
      </c>
      <c r="J18" s="2"/>
      <c r="K18" s="2"/>
    </row>
    <row r="19" spans="1:11" x14ac:dyDescent="0.2">
      <c r="A19" s="7">
        <v>45964</v>
      </c>
      <c r="B19" s="2">
        <f>SUMIFS('Raw Data'!D:D,'Raw Data'!A:A,A19)</f>
        <v>0</v>
      </c>
      <c r="C19" s="2">
        <f>SUMIFS('Raw Data'!E:E,'Raw Data'!A:A,A19)</f>
        <v>0</v>
      </c>
      <c r="D19" s="2">
        <f>SUMIFS('Raw Data'!G:G,'Raw Data'!A:A,A19)</f>
        <v>0</v>
      </c>
      <c r="E19" s="2">
        <f>SUMIFS('Raw Data'!F:F,'Raw Data'!A:A,A19)</f>
        <v>0</v>
      </c>
      <c r="F19" s="2">
        <f>SUMIFS('Raw Data'!H:H,'Raw Data'!A:A,A19)</f>
        <v>0</v>
      </c>
      <c r="G19" s="2">
        <f>SUMIFS('Raw Data'!I:I,'Raw Data'!A:A,A19)</f>
        <v>0</v>
      </c>
      <c r="H19" s="2" t="e">
        <f ca="1">IF(COUNTA(A2:A15)&lt;2,"",_xludf.FORECAST.LINEAR(A19,C2:C15,A2:A15))</f>
        <v>#NAME?</v>
      </c>
      <c r="I19" s="2" t="e">
        <f ca="1">IF(COUNTA(A2:A15)&lt;2,"",_xludf.FORECAST.LINEAR(A19,D2:D15,A2:A15))</f>
        <v>#NAME?</v>
      </c>
      <c r="J19" s="2"/>
      <c r="K19" s="2"/>
    </row>
    <row r="20" spans="1:11" x14ac:dyDescent="0.2">
      <c r="A20" s="7">
        <v>45965</v>
      </c>
      <c r="B20" s="2">
        <f>SUMIFS('Raw Data'!D:D,'Raw Data'!A:A,A20)</f>
        <v>0</v>
      </c>
      <c r="C20" s="2">
        <f>SUMIFS('Raw Data'!E:E,'Raw Data'!A:A,A20)</f>
        <v>0</v>
      </c>
      <c r="D20" s="2">
        <f>SUMIFS('Raw Data'!G:G,'Raw Data'!A:A,A20)</f>
        <v>0</v>
      </c>
      <c r="E20" s="2">
        <f>SUMIFS('Raw Data'!F:F,'Raw Data'!A:A,A20)</f>
        <v>0</v>
      </c>
      <c r="F20" s="2">
        <f>SUMIFS('Raw Data'!H:H,'Raw Data'!A:A,A20)</f>
        <v>0</v>
      </c>
      <c r="G20" s="2">
        <f>SUMIFS('Raw Data'!I:I,'Raw Data'!A:A,A20)</f>
        <v>0</v>
      </c>
      <c r="H20" s="2" t="e">
        <f ca="1">IF(COUNTA(A2:A15)&lt;2,"",_xludf.FORECAST.LINEAR(A20,C2:C15,A2:A15))</f>
        <v>#NAME?</v>
      </c>
      <c r="I20" s="2" t="e">
        <f ca="1">IF(COUNTA(A2:A15)&lt;2,"",_xludf.FORECAST.LINEAR(A20,D2:D15,A2:A15))</f>
        <v>#NAME?</v>
      </c>
      <c r="J20" s="2"/>
      <c r="K20" s="2"/>
    </row>
    <row r="21" spans="1:11" x14ac:dyDescent="0.2">
      <c r="A21" s="8">
        <v>45966</v>
      </c>
      <c r="B21">
        <f>SUMIFS('Raw Data'!D:D,'Raw Data'!A:A,A21)</f>
        <v>0</v>
      </c>
      <c r="C21">
        <f>SUMIFS('Raw Data'!E:E,'Raw Data'!A:A,A21)</f>
        <v>0</v>
      </c>
      <c r="D21">
        <f>SUMIFS('Raw Data'!G:G,'Raw Data'!A:A,A21)</f>
        <v>0</v>
      </c>
      <c r="E21">
        <f>SUMIFS('Raw Data'!F:F,'Raw Data'!A:A,A21)</f>
        <v>0</v>
      </c>
      <c r="F21">
        <f>SUMIFS('Raw Data'!H:H,'Raw Data'!A:A,A21)</f>
        <v>0</v>
      </c>
      <c r="G21">
        <f>SUMIFS('Raw Data'!I:I,'Raw Data'!A:A,A21)</f>
        <v>0</v>
      </c>
      <c r="H21" t="e">
        <f ca="1">IF(COUNTA(A2:A15)&lt;2,"",_xludf.FORECAST.LINEAR(A21,C2:C15,A2:A15))</f>
        <v>#NAME?</v>
      </c>
      <c r="I21" t="e">
        <f ca="1">IF(COUNTA(A2:A15)&lt;2,"",_xludf.FORECAST.LINEAR(A21,D2:D15,A2:A15))</f>
        <v>#NAME?</v>
      </c>
    </row>
    <row r="22" spans="1:11" x14ac:dyDescent="0.2">
      <c r="A22" s="8">
        <v>45967</v>
      </c>
      <c r="B22">
        <f>SUMIFS('Raw Data'!D:D,'Raw Data'!A:A,A22)</f>
        <v>0</v>
      </c>
      <c r="C22">
        <f>SUMIFS('Raw Data'!E:E,'Raw Data'!A:A,A22)</f>
        <v>0</v>
      </c>
      <c r="D22">
        <f>SUMIFS('Raw Data'!G:G,'Raw Data'!A:A,A22)</f>
        <v>0</v>
      </c>
      <c r="E22">
        <f>SUMIFS('Raw Data'!F:F,'Raw Data'!A:A,A22)</f>
        <v>0</v>
      </c>
      <c r="F22">
        <f>SUMIFS('Raw Data'!H:H,'Raw Data'!A:A,A22)</f>
        <v>0</v>
      </c>
      <c r="G22">
        <f>SUMIFS('Raw Data'!I:I,'Raw Data'!A:A,A22)</f>
        <v>0</v>
      </c>
      <c r="H22" t="e">
        <f ca="1">IF(COUNTA(A2:A15)&lt;2,"",_xludf.FORECAST.LINEAR(A22,C2:C15,A2:A15))</f>
        <v>#NAME?</v>
      </c>
      <c r="I22" t="e">
        <f ca="1">IF(COUNTA(A2:A15)&lt;2,"",_xludf.FORECAST.LINEAR(A22,D2:D15,A2:A15))</f>
        <v>#NAME?</v>
      </c>
    </row>
    <row r="23" spans="1:11" x14ac:dyDescent="0.2">
      <c r="A23" s="8">
        <v>45968</v>
      </c>
      <c r="B23">
        <f>SUMIFS('Raw Data'!D:D,'Raw Data'!A:A,A23)</f>
        <v>60000</v>
      </c>
      <c r="C23">
        <f>SUMIFS('Raw Data'!E:E,'Raw Data'!A:A,A23)</f>
        <v>300</v>
      </c>
      <c r="D23">
        <f>SUMIFS('Raw Data'!G:G,'Raw Data'!A:A,A23)</f>
        <v>146</v>
      </c>
      <c r="E23">
        <f>SUMIFS('Raw Data'!F:F,'Raw Data'!A:A,A23)</f>
        <v>17000</v>
      </c>
      <c r="F23">
        <f>SUMIFS('Raw Data'!H:H,'Raw Data'!A:A,A23)</f>
        <v>2</v>
      </c>
      <c r="G23">
        <f>SUMIFS('Raw Data'!I:I,'Raw Data'!A:A,A23)</f>
        <v>200000</v>
      </c>
      <c r="H23" t="e">
        <f ca="1">IF(COUNTA(A2:A15)&lt;2,"",_xludf.FORECAST.LINEAR(A23,C2:C15,A2:A15))</f>
        <v>#NAME?</v>
      </c>
      <c r="I23" t="e">
        <f ca="1">IF(COUNTA(A2:A15)&lt;2,"",_xludf.FORECAST.LINEAR(A23,D2:D15,A2:A15))</f>
        <v>#NAME?</v>
      </c>
    </row>
    <row r="24" spans="1:11" x14ac:dyDescent="0.2">
      <c r="A24" s="8">
        <v>45969</v>
      </c>
      <c r="B24">
        <f>SUMIFS('Raw Data'!D:D,'Raw Data'!A:A,A24)</f>
        <v>0</v>
      </c>
      <c r="C24">
        <f>SUMIFS('Raw Data'!E:E,'Raw Data'!A:A,A24)</f>
        <v>0</v>
      </c>
      <c r="D24">
        <f>SUMIFS('Raw Data'!G:G,'Raw Data'!A:A,A24)</f>
        <v>0</v>
      </c>
      <c r="E24">
        <f>SUMIFS('Raw Data'!F:F,'Raw Data'!A:A,A24)</f>
        <v>0</v>
      </c>
      <c r="F24">
        <f>SUMIFS('Raw Data'!H:H,'Raw Data'!A:A,A24)</f>
        <v>0</v>
      </c>
      <c r="G24">
        <f>SUMIFS('Raw Data'!I:I,'Raw Data'!A:A,A24)</f>
        <v>0</v>
      </c>
      <c r="H24" t="e">
        <f ca="1">IF(COUNTA(A2:A15)&lt;2,"",_xludf.FORECAST.LINEAR(A24,C2:C15,A2:A15))</f>
        <v>#NAME?</v>
      </c>
      <c r="I24" t="e">
        <f ca="1">IF(COUNTA(A2:A15)&lt;2,"",_xludf.FORECAST.LINEAR(A24,D2:D15,A2:A15))</f>
        <v>#NAME?</v>
      </c>
    </row>
    <row r="25" spans="1:11" x14ac:dyDescent="0.2">
      <c r="A25" s="8">
        <v>45970</v>
      </c>
      <c r="B25">
        <f>SUMIFS('Raw Data'!D:D,'Raw Data'!A:A,A25)</f>
        <v>0</v>
      </c>
      <c r="C25">
        <f>SUMIFS('Raw Data'!E:E,'Raw Data'!A:A,A25)</f>
        <v>0</v>
      </c>
      <c r="D25">
        <f>SUMIFS('Raw Data'!G:G,'Raw Data'!A:A,A25)</f>
        <v>0</v>
      </c>
      <c r="E25">
        <f>SUMIFS('Raw Data'!F:F,'Raw Data'!A:A,A25)</f>
        <v>0</v>
      </c>
      <c r="F25">
        <f>SUMIFS('Raw Data'!H:H,'Raw Data'!A:A,A25)</f>
        <v>0</v>
      </c>
      <c r="G25">
        <f>SUMIFS('Raw Data'!I:I,'Raw Data'!A:A,A25)</f>
        <v>0</v>
      </c>
      <c r="H25" t="e">
        <f ca="1">IF(COUNTA(A2:A15)&lt;2,"",_xludf.FORECAST.LINEAR(A25,C2:C15,A2:A15))</f>
        <v>#NAME?</v>
      </c>
      <c r="I25" t="e">
        <f ca="1">IF(COUNTA(A2:A15)&lt;2,"",_xludf.FORECAST.LINEAR(A25,D2:D15,A2:A15))</f>
        <v>#NAME?</v>
      </c>
    </row>
    <row r="26" spans="1:11" x14ac:dyDescent="0.2">
      <c r="A26" s="8">
        <v>45971</v>
      </c>
      <c r="B26">
        <f>SUMIFS('Raw Data'!D:D,'Raw Data'!A:A,A26)</f>
        <v>0</v>
      </c>
      <c r="C26">
        <f>SUMIFS('Raw Data'!E:E,'Raw Data'!A:A,A26)</f>
        <v>0</v>
      </c>
      <c r="D26">
        <f>SUMIFS('Raw Data'!G:G,'Raw Data'!A:A,A26)</f>
        <v>0</v>
      </c>
      <c r="E26">
        <f>SUMIFS('Raw Data'!F:F,'Raw Data'!A:A,A26)</f>
        <v>0</v>
      </c>
      <c r="F26">
        <f>SUMIFS('Raw Data'!H:H,'Raw Data'!A:A,A26)</f>
        <v>0</v>
      </c>
      <c r="G26">
        <f>SUMIFS('Raw Data'!I:I,'Raw Data'!A:A,A26)</f>
        <v>0</v>
      </c>
      <c r="H26" t="e">
        <f ca="1">IF(COUNTA(A2:A15)&lt;2,"",_xludf.FORECAST.LINEAR(A26,C2:C15,A2:A15))</f>
        <v>#NAME?</v>
      </c>
      <c r="I26" t="e">
        <f ca="1">IF(COUNTA(A2:A15)&lt;2,"",_xludf.FORECAST.LINEAR(A26,D2:D15,A2:A15))</f>
        <v>#NAME?</v>
      </c>
    </row>
    <row r="27" spans="1:11" x14ac:dyDescent="0.2">
      <c r="A27" s="8">
        <v>45972</v>
      </c>
      <c r="B27">
        <f>SUMIFS('Raw Data'!D:D,'Raw Data'!A:A,A27)</f>
        <v>0</v>
      </c>
      <c r="C27">
        <f>SUMIFS('Raw Data'!E:E,'Raw Data'!A:A,A27)</f>
        <v>0</v>
      </c>
      <c r="D27">
        <f>SUMIFS('Raw Data'!G:G,'Raw Data'!A:A,A27)</f>
        <v>0</v>
      </c>
      <c r="E27">
        <f>SUMIFS('Raw Data'!F:F,'Raw Data'!A:A,A27)</f>
        <v>0</v>
      </c>
      <c r="F27">
        <f>SUMIFS('Raw Data'!H:H,'Raw Data'!A:A,A27)</f>
        <v>0</v>
      </c>
      <c r="G27">
        <f>SUMIFS('Raw Data'!I:I,'Raw Data'!A:A,A27)</f>
        <v>0</v>
      </c>
      <c r="H27" t="e">
        <f ca="1">IF(COUNTA(A2:A15)&lt;2,"",_xludf.FORECAST.LINEAR(A27,C2:C15,A2:A15))</f>
        <v>#NAME?</v>
      </c>
      <c r="I27" t="e">
        <f ca="1">IF(COUNTA(A2:A15)&lt;2,"",_xludf.FORECAST.LINEAR(A27,D2:D15,A2:A15))</f>
        <v>#NAME?</v>
      </c>
    </row>
    <row r="28" spans="1:11" x14ac:dyDescent="0.2">
      <c r="A28" s="8">
        <v>45973</v>
      </c>
      <c r="B28">
        <f>SUMIFS('Raw Data'!D:D,'Raw Data'!A:A,A28)</f>
        <v>0</v>
      </c>
      <c r="C28">
        <f>SUMIFS('Raw Data'!E:E,'Raw Data'!A:A,A28)</f>
        <v>0</v>
      </c>
      <c r="D28">
        <f>SUMIFS('Raw Data'!G:G,'Raw Data'!A:A,A28)</f>
        <v>0</v>
      </c>
      <c r="E28">
        <f>SUMIFS('Raw Data'!F:F,'Raw Data'!A:A,A28)</f>
        <v>0</v>
      </c>
      <c r="F28">
        <f>SUMIFS('Raw Data'!H:H,'Raw Data'!A:A,A28)</f>
        <v>0</v>
      </c>
      <c r="G28">
        <f>SUMIFS('Raw Data'!I:I,'Raw Data'!A:A,A28)</f>
        <v>0</v>
      </c>
      <c r="H28" t="e">
        <f ca="1">IF(COUNTA(A2:A15)&lt;2,"",_xludf.FORECAST.LINEAR(A28,C2:C15,A2:A15))</f>
        <v>#NAME?</v>
      </c>
      <c r="I28" t="e">
        <f ca="1">IF(COUNTA(A2:A15)&lt;2,"",_xludf.FORECAST.LINEAR(A28,D2:D15,A2:A15))</f>
        <v>#NAME?</v>
      </c>
    </row>
    <row r="29" spans="1:11" x14ac:dyDescent="0.2">
      <c r="A29" s="8">
        <v>45974</v>
      </c>
      <c r="B29">
        <f>SUMIFS('Raw Data'!D:D,'Raw Data'!A:A,A29)</f>
        <v>0</v>
      </c>
      <c r="C29">
        <f>SUMIFS('Raw Data'!E:E,'Raw Data'!A:A,A29)</f>
        <v>0</v>
      </c>
      <c r="D29">
        <f>SUMIFS('Raw Data'!G:G,'Raw Data'!A:A,A29)</f>
        <v>0</v>
      </c>
      <c r="E29">
        <f>SUMIFS('Raw Data'!F:F,'Raw Data'!A:A,A29)</f>
        <v>0</v>
      </c>
      <c r="F29">
        <f>SUMIFS('Raw Data'!H:H,'Raw Data'!A:A,A29)</f>
        <v>0</v>
      </c>
      <c r="G29">
        <f>SUMIFS('Raw Data'!I:I,'Raw Data'!A:A,A29)</f>
        <v>0</v>
      </c>
      <c r="H29" t="e">
        <f ca="1">IF(COUNTA(A2:A15)&lt;2,"",_xludf.FORECAST.LINEAR(A29,C2:C15,A2:A15))</f>
        <v>#NAME?</v>
      </c>
      <c r="I29" t="e">
        <f ca="1">IF(COUNTA(A2:A15)&lt;2,"",_xludf.FORECAST.LINEAR(A29,D2:D15,A2:A15))</f>
        <v>#NAME?</v>
      </c>
    </row>
    <row r="30" spans="1:11" x14ac:dyDescent="0.2">
      <c r="A30" s="8">
        <v>45975</v>
      </c>
      <c r="B30">
        <f>SUMIFS('Raw Data'!D:D,'Raw Data'!A:A,A30)</f>
        <v>0</v>
      </c>
      <c r="C30">
        <f>SUMIFS('Raw Data'!E:E,'Raw Data'!A:A,A30)</f>
        <v>0</v>
      </c>
      <c r="D30">
        <f>SUMIFS('Raw Data'!G:G,'Raw Data'!A:A,A30)</f>
        <v>0</v>
      </c>
      <c r="E30">
        <f>SUMIFS('Raw Data'!F:F,'Raw Data'!A:A,A30)</f>
        <v>0</v>
      </c>
      <c r="F30">
        <f>SUMIFS('Raw Data'!H:H,'Raw Data'!A:A,A30)</f>
        <v>0</v>
      </c>
      <c r="G30">
        <f>SUMIFS('Raw Data'!I:I,'Raw Data'!A:A,A30)</f>
        <v>0</v>
      </c>
      <c r="H30" t="e">
        <f ca="1">IF(COUNTA(A2:A15)&lt;2,"",_xludf.FORECAST.LINEAR(A30,C2:C15,A2:A15))</f>
        <v>#NAME?</v>
      </c>
      <c r="I30" t="e">
        <f ca="1">IF(COUNTA(A2:A15)&lt;2,"",_xludf.FORECAST.LINEAR(A30,D2:D15,A2:A15))</f>
        <v>#NAME?</v>
      </c>
    </row>
    <row r="31" spans="1:11" x14ac:dyDescent="0.2">
      <c r="A31" s="8">
        <v>45976</v>
      </c>
      <c r="B31">
        <f>SUMIFS('Raw Data'!D:D,'Raw Data'!A:A,A31)</f>
        <v>0</v>
      </c>
      <c r="C31">
        <f>SUMIFS('Raw Data'!E:E,'Raw Data'!A:A,A31)</f>
        <v>0</v>
      </c>
      <c r="D31">
        <f>SUMIFS('Raw Data'!G:G,'Raw Data'!A:A,A31)</f>
        <v>0</v>
      </c>
      <c r="E31">
        <f>SUMIFS('Raw Data'!F:F,'Raw Data'!A:A,A31)</f>
        <v>0</v>
      </c>
      <c r="F31">
        <f>SUMIFS('Raw Data'!H:H,'Raw Data'!A:A,A31)</f>
        <v>0</v>
      </c>
      <c r="G31">
        <f>SUMIFS('Raw Data'!I:I,'Raw Data'!A:A,A31)</f>
        <v>0</v>
      </c>
      <c r="H31" t="e">
        <f ca="1">IF(COUNTA(A2:A15)&lt;2,"",_xludf.FORECAST.LINEAR(A31,C2:C15,A2:A15))</f>
        <v>#NAME?</v>
      </c>
      <c r="I31" t="e">
        <f ca="1">IF(COUNTA(A2:A15)&lt;2,"",_xludf.FORECAST.LINEAR(A31,D2:D15,A2:A15))</f>
        <v>#NAME?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">
      <c r="A2" s="2" t="s">
        <v>10</v>
      </c>
      <c r="B2" s="2">
        <f>SUMIF('Raw Data'!C:C,A2,'Raw Data'!D:D)</f>
        <v>0</v>
      </c>
      <c r="C2" s="2">
        <f>SUMIF('Raw Data'!C:C,A2,'Raw Data'!E:E)</f>
        <v>0</v>
      </c>
      <c r="D2" s="2">
        <f>SUMIF('Raw Data'!C:C,A2,'Raw Data'!F:F)</f>
        <v>0</v>
      </c>
      <c r="E2" s="2">
        <f>SUMIF('Raw Data'!C:C,A2,'Raw Data'!G:G)</f>
        <v>0</v>
      </c>
      <c r="F2" s="2">
        <f>SUMIF('Raw Data'!C:C,A2,'Raw Data'!H:H)</f>
        <v>0</v>
      </c>
      <c r="G2" s="2">
        <f>SUMIF('Raw Data'!C:C,A2,'Raw Data'!I:I)</f>
        <v>0</v>
      </c>
      <c r="H2" s="2">
        <f t="shared" ref="H2:H8" si="0">IF(B2=0,0,D2/B2)</f>
        <v>0</v>
      </c>
      <c r="I2" s="2">
        <f t="shared" ref="I2:I8" si="1">IF(E2=0,0,D2/E2)</f>
        <v>0</v>
      </c>
      <c r="J2" s="2">
        <f t="shared" ref="J2:J8" si="2">IF(F2=0,0,D2/F2)</f>
        <v>0</v>
      </c>
      <c r="K2" s="2">
        <f t="shared" ref="K2:K8" si="3">IF(D2=0,0,(G2-D2)/D2)</f>
        <v>0</v>
      </c>
    </row>
    <row r="3" spans="1:11" x14ac:dyDescent="0.2">
      <c r="A3" s="2" t="s">
        <v>11</v>
      </c>
      <c r="B3" s="2">
        <f>SUMIF('Raw Data'!C:C,A3,'Raw Data'!D:D)</f>
        <v>60000</v>
      </c>
      <c r="C3" s="2">
        <f>SUMIF('Raw Data'!C:C,A3,'Raw Data'!E:E)</f>
        <v>300</v>
      </c>
      <c r="D3" s="2">
        <f>SUMIF('Raw Data'!C:C,A3,'Raw Data'!F:F)</f>
        <v>17000</v>
      </c>
      <c r="E3" s="2">
        <f>SUMIF('Raw Data'!C:C,A3,'Raw Data'!G:G)</f>
        <v>146</v>
      </c>
      <c r="F3" s="2">
        <f>SUMIF('Raw Data'!C:C,A3,'Raw Data'!H:H)</f>
        <v>2</v>
      </c>
      <c r="G3" s="2">
        <f>SUMIF('Raw Data'!C:C,A3,'Raw Data'!I:I)</f>
        <v>200000</v>
      </c>
      <c r="H3" s="2">
        <f t="shared" si="0"/>
        <v>0.28333333333333333</v>
      </c>
      <c r="I3" s="2">
        <f t="shared" si="1"/>
        <v>116.43835616438356</v>
      </c>
      <c r="J3" s="2">
        <f t="shared" si="2"/>
        <v>8500</v>
      </c>
      <c r="K3" s="2">
        <f t="shared" si="3"/>
        <v>10.764705882352942</v>
      </c>
    </row>
    <row r="4" spans="1:11" x14ac:dyDescent="0.2">
      <c r="A4" s="2" t="s">
        <v>12</v>
      </c>
      <c r="B4" s="2">
        <f>SUMIF('Raw Data'!C:C,A4,'Raw Data'!D:D)</f>
        <v>0</v>
      </c>
      <c r="C4" s="2">
        <f>SUMIF('Raw Data'!C:C,A4,'Raw Data'!E:E)</f>
        <v>0</v>
      </c>
      <c r="D4" s="2">
        <f>SUMIF('Raw Data'!C:C,A4,'Raw Data'!F:F)</f>
        <v>0</v>
      </c>
      <c r="E4" s="2">
        <f>SUMIF('Raw Data'!C:C,A4,'Raw Data'!G:G)</f>
        <v>0</v>
      </c>
      <c r="F4" s="2">
        <f>SUMIF('Raw Data'!C:C,A4,'Raw Data'!H:H)</f>
        <v>0</v>
      </c>
      <c r="G4" s="2">
        <f>SUMIF('Raw Data'!C:C,A4,'Raw Data'!I:I)</f>
        <v>0</v>
      </c>
      <c r="H4" s="2">
        <f t="shared" si="0"/>
        <v>0</v>
      </c>
      <c r="I4" s="2">
        <f t="shared" si="1"/>
        <v>0</v>
      </c>
      <c r="J4" s="2">
        <f t="shared" si="2"/>
        <v>0</v>
      </c>
      <c r="K4" s="2">
        <f t="shared" si="3"/>
        <v>0</v>
      </c>
    </row>
    <row r="5" spans="1:11" x14ac:dyDescent="0.2">
      <c r="A5" s="2" t="s">
        <v>13</v>
      </c>
      <c r="B5" s="2">
        <f>SUMIF('Raw Data'!C:C,A5,'Raw Data'!D:D)</f>
        <v>0</v>
      </c>
      <c r="C5" s="2">
        <f>SUMIF('Raw Data'!C:C,A5,'Raw Data'!E:E)</f>
        <v>0</v>
      </c>
      <c r="D5" s="2">
        <f>SUMIF('Raw Data'!C:C,A5,'Raw Data'!F:F)</f>
        <v>0</v>
      </c>
      <c r="E5" s="2">
        <f>SUMIF('Raw Data'!C:C,A5,'Raw Data'!G:G)</f>
        <v>0</v>
      </c>
      <c r="F5" s="2">
        <f>SUMIF('Raw Data'!C:C,A5,'Raw Data'!H:H)</f>
        <v>0</v>
      </c>
      <c r="G5" s="2">
        <f>SUMIF('Raw Data'!C:C,A5,'Raw Data'!I:I)</f>
        <v>0</v>
      </c>
      <c r="H5" s="2">
        <f t="shared" si="0"/>
        <v>0</v>
      </c>
      <c r="I5" s="2">
        <f t="shared" si="1"/>
        <v>0</v>
      </c>
      <c r="J5" s="2">
        <f t="shared" si="2"/>
        <v>0</v>
      </c>
      <c r="K5" s="2">
        <f t="shared" si="3"/>
        <v>0</v>
      </c>
    </row>
    <row r="6" spans="1:11" x14ac:dyDescent="0.2">
      <c r="A6" s="2" t="s">
        <v>14</v>
      </c>
      <c r="B6" s="2">
        <f>SUMIF('Raw Data'!C:C,A6,'Raw Data'!D:D)</f>
        <v>0</v>
      </c>
      <c r="C6" s="2">
        <f>SUMIF('Raw Data'!C:C,A6,'Raw Data'!E:E)</f>
        <v>0</v>
      </c>
      <c r="D6" s="2">
        <f>SUMIF('Raw Data'!C:C,A6,'Raw Data'!F:F)</f>
        <v>0</v>
      </c>
      <c r="E6" s="2">
        <f>SUMIF('Raw Data'!C:C,A6,'Raw Data'!G:G)</f>
        <v>0</v>
      </c>
      <c r="F6" s="2">
        <f>SUMIF('Raw Data'!C:C,A6,'Raw Data'!H:H)</f>
        <v>0</v>
      </c>
      <c r="G6" s="2">
        <f>SUMIF('Raw Data'!C:C,A6,'Raw Data'!I:I)</f>
        <v>0</v>
      </c>
      <c r="H6" s="2">
        <f t="shared" si="0"/>
        <v>0</v>
      </c>
      <c r="I6" s="2">
        <f t="shared" si="1"/>
        <v>0</v>
      </c>
      <c r="J6" s="2">
        <f t="shared" si="2"/>
        <v>0</v>
      </c>
      <c r="K6" s="2">
        <f t="shared" si="3"/>
        <v>0</v>
      </c>
    </row>
    <row r="7" spans="1:11" x14ac:dyDescent="0.2">
      <c r="A7" s="2" t="s">
        <v>15</v>
      </c>
      <c r="B7" s="2">
        <f>SUMIF('Raw Data'!C:C,A7,'Raw Data'!D:D)</f>
        <v>0</v>
      </c>
      <c r="C7" s="2">
        <f>SUMIF('Raw Data'!C:C,A7,'Raw Data'!E:E)</f>
        <v>0</v>
      </c>
      <c r="D7" s="2">
        <f>SUMIF('Raw Data'!C:C,A7,'Raw Data'!F:F)</f>
        <v>0</v>
      </c>
      <c r="E7" s="2">
        <f>SUMIF('Raw Data'!C:C,A7,'Raw Data'!G:G)</f>
        <v>0</v>
      </c>
      <c r="F7" s="2">
        <f>SUMIF('Raw Data'!C:C,A7,'Raw Data'!H:H)</f>
        <v>0</v>
      </c>
      <c r="G7" s="2">
        <f>SUMIF('Raw Data'!C:C,A7,'Raw Data'!I:I)</f>
        <v>0</v>
      </c>
      <c r="H7" s="2">
        <f t="shared" si="0"/>
        <v>0</v>
      </c>
      <c r="I7" s="2">
        <f t="shared" si="1"/>
        <v>0</v>
      </c>
      <c r="J7" s="2">
        <f t="shared" si="2"/>
        <v>0</v>
      </c>
      <c r="K7" s="2">
        <f t="shared" si="3"/>
        <v>0</v>
      </c>
    </row>
    <row r="8" spans="1:11" x14ac:dyDescent="0.2">
      <c r="A8" s="2" t="s">
        <v>16</v>
      </c>
      <c r="B8" s="2">
        <f>SUMIF('Raw Data'!C:C,A8,'Raw Data'!D:D)</f>
        <v>0</v>
      </c>
      <c r="C8" s="2">
        <f>SUMIF('Raw Data'!C:C,A8,'Raw Data'!E:E)</f>
        <v>0</v>
      </c>
      <c r="D8" s="2">
        <f>SUMIF('Raw Data'!C:C,A8,'Raw Data'!F:F)</f>
        <v>0</v>
      </c>
      <c r="E8" s="2">
        <f>SUMIF('Raw Data'!C:C,A8,'Raw Data'!G:G)</f>
        <v>0</v>
      </c>
      <c r="F8" s="2">
        <f>SUMIF('Raw Data'!C:C,A8,'Raw Data'!H:H)</f>
        <v>0</v>
      </c>
      <c r="G8" s="2">
        <f>SUMIF('Raw Data'!C:C,A8,'Raw Data'!I:I)</f>
        <v>0</v>
      </c>
      <c r="H8" s="2">
        <f t="shared" si="0"/>
        <v>0</v>
      </c>
      <c r="I8" s="2">
        <f t="shared" si="1"/>
        <v>0</v>
      </c>
      <c r="J8" s="2">
        <f t="shared" si="2"/>
        <v>0</v>
      </c>
      <c r="K8" s="2">
        <f t="shared" si="3"/>
        <v>0</v>
      </c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workbookViewId="0">
      <selection sqref="A1:H1"/>
    </sheetView>
  </sheetViews>
  <sheetFormatPr baseColWidth="10" defaultColWidth="8.83203125" defaultRowHeight="15" x14ac:dyDescent="0.2"/>
  <sheetData>
    <row r="1" spans="1:11" x14ac:dyDescent="0.2">
      <c r="A1" s="10" t="s">
        <v>37</v>
      </c>
      <c r="B1" s="10"/>
      <c r="C1" s="10"/>
      <c r="D1" s="10"/>
      <c r="E1" s="10"/>
      <c r="F1" s="10"/>
      <c r="G1" s="10"/>
      <c r="H1" s="10"/>
      <c r="I1" s="2"/>
      <c r="J1" s="2"/>
      <c r="K1" s="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38</v>
      </c>
      <c r="B3" s="2">
        <f>Overview!B2</f>
        <v>0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 t="s">
        <v>39</v>
      </c>
      <c r="B4" s="2" t="str">
        <f>Overview!B3</f>
        <v>Total Clicks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40</v>
      </c>
      <c r="B5" s="2">
        <f>Overview!B4</f>
        <v>300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 t="s">
        <v>41</v>
      </c>
      <c r="B6" s="2">
        <f>Overview!B5</f>
        <v>0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 t="s">
        <v>42</v>
      </c>
      <c r="B7" s="2">
        <f>Overview!B8</f>
        <v>0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 t="s">
        <v>43</v>
      </c>
      <c r="B8" s="2" t="str">
        <f>Overview!B9</f>
        <v>CPA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1"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tabSelected="1" workbookViewId="0">
      <selection activeCell="L16" sqref="L16"/>
    </sheetView>
  </sheetViews>
  <sheetFormatPr baseColWidth="10" defaultColWidth="8.83203125" defaultRowHeight="15" x14ac:dyDescent="0.2"/>
  <sheetData>
    <row r="1" spans="1:1" x14ac:dyDescent="0.2">
      <c r="A1" t="s">
        <v>44</v>
      </c>
    </row>
    <row r="2" spans="1:1" x14ac:dyDescent="0.2">
      <c r="A2" t="s">
        <v>45</v>
      </c>
    </row>
    <row r="3" spans="1:1" x14ac:dyDescent="0.2">
      <c r="A3" t="s">
        <v>46</v>
      </c>
    </row>
    <row r="4" spans="1:1" x14ac:dyDescent="0.2">
      <c r="A4" t="s">
        <v>47</v>
      </c>
    </row>
    <row r="5" spans="1:1" x14ac:dyDescent="0.2">
      <c r="A5" t="s">
        <v>48</v>
      </c>
    </row>
    <row r="6" spans="1:1" x14ac:dyDescent="0.2">
      <c r="A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Lists</vt:lpstr>
      <vt:lpstr>Overview</vt:lpstr>
      <vt:lpstr>Trends</vt:lpstr>
      <vt:lpstr>Channel Performance</vt:lpstr>
      <vt:lpstr>Dashboard</vt:lpstr>
      <vt:lpstr>How to - Pivot &amp; Slicers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Vishwakarma, Nitin</cp:lastModifiedBy>
  <dcterms:created xsi:type="dcterms:W3CDTF">2025-11-15T07:46:19Z</dcterms:created>
  <dcterms:modified xsi:type="dcterms:W3CDTF">2025-11-15T07:59:48Z</dcterms:modified>
</cp:coreProperties>
</file>