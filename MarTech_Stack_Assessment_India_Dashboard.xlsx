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GM/The Martech Lab/Website Work/HTML/"/>
    </mc:Choice>
  </mc:AlternateContent>
  <xr:revisionPtr revIDLastSave="0" documentId="13_ncr:1_{6A694B5D-F1BC-1B45-A6B8-9CD03C932B0F}" xr6:coauthVersionLast="47" xr6:coauthVersionMax="47" xr10:uidLastSave="{00000000-0000-0000-0000-000000000000}"/>
  <bookViews>
    <workbookView xWindow="0" yWindow="620" windowWidth="28800" windowHeight="17380" activeTab="6" xr2:uid="{00000000-000D-0000-FFFF-FFFF00000000}"/>
  </bookViews>
  <sheets>
    <sheet name="Overview" sheetId="1" r:id="rId1"/>
    <sheet name="CRM Comparison" sheetId="2" r:id="rId2"/>
    <sheet name="CDP Comparison" sheetId="3" r:id="rId3"/>
    <sheet name="Cost Matrix" sheetId="4" r:id="rId4"/>
    <sheet name="Audit Framework" sheetId="5" r:id="rId5"/>
    <sheet name="Maturity Model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B13" i="7"/>
  <c r="B12" i="7"/>
  <c r="B11" i="7"/>
  <c r="B10" i="7"/>
  <c r="B7" i="7"/>
  <c r="B6" i="7"/>
  <c r="B5" i="7"/>
  <c r="B4" i="7"/>
  <c r="B3" i="7"/>
  <c r="B16" i="6"/>
  <c r="B15" i="6"/>
  <c r="F9" i="5"/>
  <c r="F10" i="5"/>
  <c r="F11" i="5"/>
  <c r="F12" i="5"/>
  <c r="F8" i="5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G4" i="2"/>
  <c r="G3" i="2"/>
  <c r="G2" i="2"/>
  <c r="B21" i="7" l="1"/>
  <c r="B18" i="7"/>
  <c r="B17" i="7"/>
  <c r="B19" i="7"/>
  <c r="B20" i="7"/>
</calcChain>
</file>

<file path=xl/sharedStrings.xml><?xml version="1.0" encoding="utf-8"?>
<sst xmlns="http://schemas.openxmlformats.org/spreadsheetml/2006/main" count="183" uniqueCount="128">
  <si>
    <t>Category</t>
  </si>
  <si>
    <t>Tool Example (India)</t>
  </si>
  <si>
    <t>Use Case</t>
  </si>
  <si>
    <t>Adoption Readiness</t>
  </si>
  <si>
    <t>Integration Required</t>
  </si>
  <si>
    <t>Cost Consideration</t>
  </si>
  <si>
    <t>Comments</t>
  </si>
  <si>
    <t>CRM</t>
  </si>
  <si>
    <t>Zoho CRM / LeadSquared</t>
  </si>
  <si>
    <t>Lead management, workflows</t>
  </si>
  <si>
    <t>Low–Medium</t>
  </si>
  <si>
    <t>Marketing Automation</t>
  </si>
  <si>
    <t>Netcore / WebEngage</t>
  </si>
  <si>
    <t>Journeys, email, SMS, WhatsApp</t>
  </si>
  <si>
    <t>Medium</t>
  </si>
  <si>
    <t>CDP / CEP</t>
  </si>
  <si>
    <t>MoEngage / Netcore 360</t>
  </si>
  <si>
    <t>Unified profiles &amp; segmentation</t>
  </si>
  <si>
    <t>Medium–High</t>
  </si>
  <si>
    <t>Email Marketing</t>
  </si>
  <si>
    <t>Netcore / Mailchimp India</t>
  </si>
  <si>
    <t>Newsletters &amp; campaigns</t>
  </si>
  <si>
    <t>Low</t>
  </si>
  <si>
    <t>WhatsApp Marketing</t>
  </si>
  <si>
    <t>Gupshup / Kaleyra / Interakt</t>
  </si>
  <si>
    <t>WA automation</t>
  </si>
  <si>
    <t>Landing Pages</t>
  </si>
  <si>
    <t>Unbounce / Webflow / WordPress</t>
  </si>
  <si>
    <t>Lead gen pages</t>
  </si>
  <si>
    <t>Analytics</t>
  </si>
  <si>
    <t>GA4 / Mixpanel</t>
  </si>
  <si>
    <t>Behavior &amp; attribution</t>
  </si>
  <si>
    <t>Ad Platforms</t>
  </si>
  <si>
    <t>Meta Ads / Google Ads</t>
  </si>
  <si>
    <t>Performance marketing</t>
  </si>
  <si>
    <t>Tag Management</t>
  </si>
  <si>
    <t>Google Tag Manager</t>
  </si>
  <si>
    <t>Event setup</t>
  </si>
  <si>
    <t>Call Tracking</t>
  </si>
  <si>
    <t>Exotel / Knowlarity</t>
  </si>
  <si>
    <t>Lead routing &amp; recording</t>
  </si>
  <si>
    <t>Data Visualization</t>
  </si>
  <si>
    <t>Looker Studio / Power BI</t>
  </si>
  <si>
    <t>Dashboards</t>
  </si>
  <si>
    <t>CRM Tool</t>
  </si>
  <si>
    <t>Indian Relevance</t>
  </si>
  <si>
    <t>Features</t>
  </si>
  <si>
    <t>Ease of Use (1-5)</t>
  </si>
  <si>
    <t>Integration Score (1-5)</t>
  </si>
  <si>
    <t>Pricing Score (1-5)</t>
  </si>
  <si>
    <t>Total Score (=AVERAGE)</t>
  </si>
  <si>
    <t>Zoho CRM</t>
  </si>
  <si>
    <t>High</t>
  </si>
  <si>
    <t>Workflows, automation, APIs</t>
  </si>
  <si>
    <t>LeadSquared</t>
  </si>
  <si>
    <t>Very High</t>
  </si>
  <si>
    <t>Sales execution CRM, strong in India</t>
  </si>
  <si>
    <t>HubSpot</t>
  </si>
  <si>
    <t>Inbound CRM, automation</t>
  </si>
  <si>
    <t>CDP/CEP Tool</t>
  </si>
  <si>
    <t>Strength in India</t>
  </si>
  <si>
    <t>Identity Resolution</t>
  </si>
  <si>
    <t>Segmentation</t>
  </si>
  <si>
    <t>Channels Supported</t>
  </si>
  <si>
    <t>Netcore Customer 360</t>
  </si>
  <si>
    <t>Yes</t>
  </si>
  <si>
    <t>Advanced</t>
  </si>
  <si>
    <t>Email, SMS, WA, Push</t>
  </si>
  <si>
    <t>MoEngage</t>
  </si>
  <si>
    <t>App Push, WA, Email</t>
  </si>
  <si>
    <t>WebEngage</t>
  </si>
  <si>
    <t>Strong</t>
  </si>
  <si>
    <t>Tool</t>
  </si>
  <si>
    <t>Approx Cost (₹/month)</t>
  </si>
  <si>
    <t>Ideal For</t>
  </si>
  <si>
    <t>1500–3000</t>
  </si>
  <si>
    <t>SMBs, real estate</t>
  </si>
  <si>
    <t>3000–10000</t>
  </si>
  <si>
    <t>Real estate, BFSI</t>
  </si>
  <si>
    <t>Netcore</t>
  </si>
  <si>
    <t>Custom</t>
  </si>
  <si>
    <t>Enterprise</t>
  </si>
  <si>
    <t>25000+</t>
  </si>
  <si>
    <t>Growth stage brands</t>
  </si>
  <si>
    <t>WhatsApp API</t>
  </si>
  <si>
    <t>Gupshup</t>
  </si>
  <si>
    <t>₹0.20–0.60/msg</t>
  </si>
  <si>
    <t>All</t>
  </si>
  <si>
    <t>GA4</t>
  </si>
  <si>
    <t>Free</t>
  </si>
  <si>
    <t>Exotel</t>
  </si>
  <si>
    <t>2000–8000</t>
  </si>
  <si>
    <t>Sales teams</t>
  </si>
  <si>
    <t>Current Tool</t>
  </si>
  <si>
    <t>Score: Capability (1-5)</t>
  </si>
  <si>
    <t>Score: Integration (1-5)</t>
  </si>
  <si>
    <t>Score: ROI (1-5)</t>
  </si>
  <si>
    <t>Weighted Score</t>
  </si>
  <si>
    <t>Good for SMBs</t>
  </si>
  <si>
    <t>Need integration</t>
  </si>
  <si>
    <t>CDP</t>
  </si>
  <si>
    <t>Strong segmentation</t>
  </si>
  <si>
    <t>Analytics maturity ok</t>
  </si>
  <si>
    <t>WhatsApp/Comm</t>
  </si>
  <si>
    <t>Gupshup / Exotel</t>
  </si>
  <si>
    <t>Messaging costs</t>
  </si>
  <si>
    <t>Maturity Level</t>
  </si>
  <si>
    <t>Score Range (avg)</t>
  </si>
  <si>
    <t>Numeric Value</t>
  </si>
  <si>
    <t>Ad-hoc</t>
  </si>
  <si>
    <t>1.0 - 1.9</t>
  </si>
  <si>
    <t>Emerging</t>
  </si>
  <si>
    <t>2.0 - 2.9</t>
  </si>
  <si>
    <t>Defined</t>
  </si>
  <si>
    <t>3.0 - 3.9</t>
  </si>
  <si>
    <t>Managed</t>
  </si>
  <si>
    <t>4.0 - 4.4</t>
  </si>
  <si>
    <t>Optimized</t>
  </si>
  <si>
    <t>4.5 - 5.0</t>
  </si>
  <si>
    <t>Weighted Score (Audit)</t>
  </si>
  <si>
    <t>Maturity Level (Rounded)</t>
  </si>
  <si>
    <t>Maturity Label (Lookup)</t>
  </si>
  <si>
    <t>Overall Maturity (Avg Weighted Score)</t>
  </si>
  <si>
    <t>Overall Maturity Label</t>
  </si>
  <si>
    <t>MarTech Assessment Dashboard</t>
  </si>
  <si>
    <t>Rounded Maturity</t>
  </si>
  <si>
    <t>Maturity Level (1-5)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</si>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</sst>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Weighted Score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Dashboard!$A$2:$A$6</c:f>
              <c:strCache>
                <c:ptCount val="5"/>
                <c:pt idx="0">
                  <c:v>Category</c:v>
                </c:pt>
                <c:pt idx="1">
                  <c:v>CRM</c:v>
                </c:pt>
                <c:pt idx="2">
                  <c:v>Marketing Automation</c:v>
                </c:pt>
                <c:pt idx="3">
                  <c:v>CDP</c:v>
                </c:pt>
                <c:pt idx="4">
                  <c:v>Analytics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5"/>
                <c:pt idx="0">
                  <c:v>0</c:v>
                </c:pt>
                <c:pt idx="1">
                  <c:v>3.6666666666666665</c:v>
                </c:pt>
                <c:pt idx="2">
                  <c:v>3</c:v>
                </c:pt>
                <c:pt idx="3">
                  <c:v>3.3333333333333335</c:v>
                </c:pt>
                <c:pt idx="4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C-1549-817A-B728F0573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Weighted Score (1-5)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Maturity Distribution (Rounded Levels)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numRef>
              <c:f>Dashboard!$A$17:$A$21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Dashboard!$B$17:$B$21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6-8840-A4CD-F795AC177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36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/>
  </sheetViews>
  <sheetFormatPr baseColWidth="10" defaultColWidth="8.83203125" defaultRowHeight="15" x14ac:dyDescent="0.2"/>
  <cols>
    <col min="1" max="1" width="24" customWidth="1"/>
    <col min="2" max="2" width="34" customWidth="1"/>
    <col min="3" max="3" width="35" customWidth="1"/>
    <col min="4" max="4" width="22" customWidth="1"/>
    <col min="5" max="5" width="24" customWidth="1"/>
    <col min="6" max="6" width="22" customWidth="1"/>
    <col min="7" max="7" width="12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F2" t="s">
        <v>10</v>
      </c>
    </row>
    <row r="3" spans="1:7" x14ac:dyDescent="0.2">
      <c r="A3" t="s">
        <v>11</v>
      </c>
      <c r="B3" t="s">
        <v>12</v>
      </c>
      <c r="C3" t="s">
        <v>13</v>
      </c>
      <c r="F3" t="s">
        <v>14</v>
      </c>
    </row>
    <row r="4" spans="1:7" x14ac:dyDescent="0.2">
      <c r="A4" t="s">
        <v>15</v>
      </c>
      <c r="B4" t="s">
        <v>16</v>
      </c>
      <c r="C4" t="s">
        <v>17</v>
      </c>
      <c r="F4" t="s">
        <v>18</v>
      </c>
    </row>
    <row r="5" spans="1:7" x14ac:dyDescent="0.2">
      <c r="A5" t="s">
        <v>19</v>
      </c>
      <c r="B5" t="s">
        <v>20</v>
      </c>
      <c r="C5" t="s">
        <v>21</v>
      </c>
      <c r="F5" t="s">
        <v>22</v>
      </c>
    </row>
    <row r="6" spans="1:7" x14ac:dyDescent="0.2">
      <c r="A6" t="s">
        <v>23</v>
      </c>
      <c r="B6" t="s">
        <v>24</v>
      </c>
      <c r="C6" t="s">
        <v>25</v>
      </c>
      <c r="F6" t="s">
        <v>14</v>
      </c>
    </row>
    <row r="7" spans="1:7" x14ac:dyDescent="0.2">
      <c r="A7" t="s">
        <v>26</v>
      </c>
      <c r="B7" t="s">
        <v>27</v>
      </c>
      <c r="C7" t="s">
        <v>28</v>
      </c>
      <c r="F7" t="s">
        <v>22</v>
      </c>
    </row>
    <row r="8" spans="1:7" x14ac:dyDescent="0.2">
      <c r="A8" t="s">
        <v>29</v>
      </c>
      <c r="B8" t="s">
        <v>30</v>
      </c>
      <c r="C8" t="s">
        <v>31</v>
      </c>
      <c r="F8" t="s">
        <v>22</v>
      </c>
    </row>
    <row r="9" spans="1:7" x14ac:dyDescent="0.2">
      <c r="A9" t="s">
        <v>32</v>
      </c>
      <c r="B9" t="s">
        <v>33</v>
      </c>
      <c r="C9" t="s">
        <v>34</v>
      </c>
      <c r="F9" t="s">
        <v>18</v>
      </c>
    </row>
    <row r="10" spans="1:7" x14ac:dyDescent="0.2">
      <c r="A10" t="s">
        <v>35</v>
      </c>
      <c r="B10" t="s">
        <v>36</v>
      </c>
      <c r="C10" t="s">
        <v>37</v>
      </c>
      <c r="F10" t="s">
        <v>22</v>
      </c>
    </row>
    <row r="11" spans="1:7" x14ac:dyDescent="0.2">
      <c r="A11" t="s">
        <v>38</v>
      </c>
      <c r="B11" t="s">
        <v>39</v>
      </c>
      <c r="C11" t="s">
        <v>40</v>
      </c>
      <c r="F11" t="s">
        <v>14</v>
      </c>
    </row>
    <row r="12" spans="1:7" x14ac:dyDescent="0.2">
      <c r="A12" t="s">
        <v>41</v>
      </c>
      <c r="B12" t="s">
        <v>42</v>
      </c>
      <c r="C12" t="s">
        <v>43</v>
      </c>
      <c r="F1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baseColWidth="10" defaultColWidth="8.83203125" defaultRowHeight="15" x14ac:dyDescent="0.2"/>
  <cols>
    <col min="1" max="7" width="25" customWidth="1"/>
  </cols>
  <sheetData>
    <row r="1" spans="1:7" x14ac:dyDescent="0.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2">
      <c r="A2" t="s">
        <v>51</v>
      </c>
      <c r="B2" t="s">
        <v>52</v>
      </c>
      <c r="C2" t="s">
        <v>53</v>
      </c>
      <c r="G2" t="e">
        <f>AVERAGE(D2:F2)</f>
        <v>#DIV/0!</v>
      </c>
    </row>
    <row r="3" spans="1:7" x14ac:dyDescent="0.2">
      <c r="A3" t="s">
        <v>54</v>
      </c>
      <c r="B3" t="s">
        <v>55</v>
      </c>
      <c r="C3" t="s">
        <v>56</v>
      </c>
      <c r="G3" t="e">
        <f>AVERAGE(D3:F3)</f>
        <v>#DIV/0!</v>
      </c>
    </row>
    <row r="4" spans="1:7" x14ac:dyDescent="0.2">
      <c r="A4" t="s">
        <v>57</v>
      </c>
      <c r="B4" t="s">
        <v>14</v>
      </c>
      <c r="C4" t="s">
        <v>58</v>
      </c>
      <c r="G4" t="e">
        <f>AVERAGE(D4:F4)</f>
        <v>#DIV/0!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baseColWidth="10" defaultColWidth="8.83203125" defaultRowHeight="15" x14ac:dyDescent="0.2"/>
  <cols>
    <col min="1" max="6" width="25" customWidth="1"/>
  </cols>
  <sheetData>
    <row r="1" spans="1:6" x14ac:dyDescent="0.2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48</v>
      </c>
    </row>
    <row r="2" spans="1:6" x14ac:dyDescent="0.2">
      <c r="A2" t="s">
        <v>64</v>
      </c>
      <c r="B2" t="s">
        <v>52</v>
      </c>
      <c r="C2" t="s">
        <v>65</v>
      </c>
      <c r="D2" t="s">
        <v>66</v>
      </c>
      <c r="E2" t="s">
        <v>67</v>
      </c>
    </row>
    <row r="3" spans="1:6" x14ac:dyDescent="0.2">
      <c r="A3" t="s">
        <v>68</v>
      </c>
      <c r="B3" t="s">
        <v>52</v>
      </c>
      <c r="C3" t="s">
        <v>65</v>
      </c>
      <c r="D3" t="s">
        <v>66</v>
      </c>
      <c r="E3" t="s">
        <v>69</v>
      </c>
    </row>
    <row r="4" spans="1:6" x14ac:dyDescent="0.2">
      <c r="A4" t="s">
        <v>70</v>
      </c>
      <c r="B4" t="s">
        <v>52</v>
      </c>
      <c r="C4" t="s">
        <v>65</v>
      </c>
      <c r="D4" t="s">
        <v>71</v>
      </c>
      <c r="E4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baseColWidth="10" defaultColWidth="8.83203125" defaultRowHeight="15" x14ac:dyDescent="0.2"/>
  <cols>
    <col min="1" max="4" width="25" customWidth="1"/>
  </cols>
  <sheetData>
    <row r="1" spans="1:4" x14ac:dyDescent="0.2">
      <c r="A1" t="s">
        <v>0</v>
      </c>
      <c r="B1" t="s">
        <v>72</v>
      </c>
      <c r="C1" t="s">
        <v>73</v>
      </c>
      <c r="D1" t="s">
        <v>74</v>
      </c>
    </row>
    <row r="2" spans="1:4" x14ac:dyDescent="0.2">
      <c r="A2" t="s">
        <v>7</v>
      </c>
      <c r="B2" t="s">
        <v>51</v>
      </c>
      <c r="C2" t="s">
        <v>75</v>
      </c>
      <c r="D2" t="s">
        <v>76</v>
      </c>
    </row>
    <row r="3" spans="1:4" x14ac:dyDescent="0.2">
      <c r="A3" t="s">
        <v>7</v>
      </c>
      <c r="B3" t="s">
        <v>54</v>
      </c>
      <c r="C3" t="s">
        <v>77</v>
      </c>
      <c r="D3" t="s">
        <v>78</v>
      </c>
    </row>
    <row r="4" spans="1:4" x14ac:dyDescent="0.2">
      <c r="A4" t="s">
        <v>11</v>
      </c>
      <c r="B4" t="s">
        <v>79</v>
      </c>
      <c r="C4" t="s">
        <v>80</v>
      </c>
      <c r="D4" t="s">
        <v>81</v>
      </c>
    </row>
    <row r="5" spans="1:4" x14ac:dyDescent="0.2">
      <c r="A5" t="s">
        <v>11</v>
      </c>
      <c r="B5" t="s">
        <v>70</v>
      </c>
      <c r="C5" t="s">
        <v>82</v>
      </c>
      <c r="D5" t="s">
        <v>83</v>
      </c>
    </row>
    <row r="6" spans="1:4" x14ac:dyDescent="0.2">
      <c r="A6" t="s">
        <v>84</v>
      </c>
      <c r="B6" t="s">
        <v>85</v>
      </c>
      <c r="C6" t="s">
        <v>86</v>
      </c>
      <c r="D6" t="s">
        <v>87</v>
      </c>
    </row>
    <row r="7" spans="1:4" x14ac:dyDescent="0.2">
      <c r="A7" t="s">
        <v>29</v>
      </c>
      <c r="B7" t="s">
        <v>88</v>
      </c>
      <c r="C7" t="s">
        <v>89</v>
      </c>
      <c r="D7" t="s">
        <v>87</v>
      </c>
    </row>
    <row r="8" spans="1:4" x14ac:dyDescent="0.2">
      <c r="A8" t="s">
        <v>38</v>
      </c>
      <c r="B8" t="s">
        <v>90</v>
      </c>
      <c r="C8" t="s">
        <v>91</v>
      </c>
      <c r="D8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7:G12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3" width="27" customWidth="1"/>
    <col min="4" max="4" width="28" customWidth="1"/>
    <col min="5" max="5" width="20" customWidth="1"/>
    <col min="6" max="6" width="19" customWidth="1"/>
    <col min="7" max="7" width="25" customWidth="1"/>
  </cols>
  <sheetData>
    <row r="7" spans="1:7" x14ac:dyDescent="0.2">
      <c r="A7" t="s">
        <v>0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6</v>
      </c>
    </row>
    <row r="8" spans="1:7" x14ac:dyDescent="0.2">
      <c r="A8" t="s">
        <v>7</v>
      </c>
      <c r="B8" t="s">
        <v>51</v>
      </c>
      <c r="C8">
        <v>4</v>
      </c>
      <c r="D8">
        <v>4</v>
      </c>
      <c r="E8">
        <v>3</v>
      </c>
      <c r="F8">
        <f>AVERAGE(C8:E8)</f>
        <v>3.6666666666666665</v>
      </c>
      <c r="G8" t="s">
        <v>98</v>
      </c>
    </row>
    <row r="9" spans="1:7" x14ac:dyDescent="0.2">
      <c r="A9" t="s">
        <v>11</v>
      </c>
      <c r="B9" t="s">
        <v>79</v>
      </c>
      <c r="C9">
        <v>3</v>
      </c>
      <c r="D9">
        <v>3</v>
      </c>
      <c r="E9">
        <v>3</v>
      </c>
      <c r="F9">
        <f t="shared" ref="F9:F12" si="0">AVERAGE(C9:E9)</f>
        <v>3</v>
      </c>
      <c r="G9" t="s">
        <v>99</v>
      </c>
    </row>
    <row r="10" spans="1:7" x14ac:dyDescent="0.2">
      <c r="A10" t="s">
        <v>100</v>
      </c>
      <c r="B10" t="s">
        <v>68</v>
      </c>
      <c r="C10">
        <v>3</v>
      </c>
      <c r="D10">
        <v>4</v>
      </c>
      <c r="E10">
        <v>3</v>
      </c>
      <c r="F10">
        <f t="shared" si="0"/>
        <v>3.3333333333333335</v>
      </c>
      <c r="G10" t="s">
        <v>101</v>
      </c>
    </row>
    <row r="11" spans="1:7" x14ac:dyDescent="0.2">
      <c r="A11" t="s">
        <v>29</v>
      </c>
      <c r="B11" t="s">
        <v>30</v>
      </c>
      <c r="C11">
        <v>4</v>
      </c>
      <c r="D11">
        <v>3</v>
      </c>
      <c r="E11">
        <v>4</v>
      </c>
      <c r="F11">
        <f t="shared" si="0"/>
        <v>3.6666666666666665</v>
      </c>
      <c r="G11" t="s">
        <v>102</v>
      </c>
    </row>
    <row r="12" spans="1:7" x14ac:dyDescent="0.2">
      <c r="A12" t="s">
        <v>103</v>
      </c>
      <c r="B12" t="s">
        <v>104</v>
      </c>
      <c r="C12">
        <v>3</v>
      </c>
      <c r="D12">
        <v>3</v>
      </c>
      <c r="E12">
        <v>2</v>
      </c>
      <c r="F12">
        <f t="shared" si="0"/>
        <v>2.6666666666666665</v>
      </c>
      <c r="G12" t="s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B27" sqref="B27"/>
    </sheetView>
  </sheetViews>
  <sheetFormatPr baseColWidth="10" defaultColWidth="8.83203125" defaultRowHeight="15" x14ac:dyDescent="0.2"/>
  <cols>
    <col min="1" max="2" width="40" customWidth="1"/>
    <col min="3" max="3" width="34" customWidth="1"/>
    <col min="4" max="4" width="40" customWidth="1"/>
  </cols>
  <sheetData>
    <row r="1" spans="1:4" x14ac:dyDescent="0.2">
      <c r="A1" t="s">
        <v>106</v>
      </c>
      <c r="B1" t="s">
        <v>107</v>
      </c>
      <c r="C1" t="s">
        <v>108</v>
      </c>
    </row>
    <row r="2" spans="1:4" x14ac:dyDescent="0.2">
      <c r="A2" t="s">
        <v>109</v>
      </c>
      <c r="B2" t="s">
        <v>110</v>
      </c>
      <c r="C2">
        <v>1</v>
      </c>
    </row>
    <row r="3" spans="1:4" x14ac:dyDescent="0.2">
      <c r="A3" t="s">
        <v>111</v>
      </c>
      <c r="B3" t="s">
        <v>112</v>
      </c>
      <c r="C3">
        <v>2</v>
      </c>
    </row>
    <row r="4" spans="1:4" x14ac:dyDescent="0.2">
      <c r="A4" t="s">
        <v>113</v>
      </c>
      <c r="B4" t="s">
        <v>114</v>
      </c>
      <c r="C4">
        <v>3</v>
      </c>
    </row>
    <row r="5" spans="1:4" x14ac:dyDescent="0.2">
      <c r="A5" t="s">
        <v>115</v>
      </c>
      <c r="B5" t="s">
        <v>116</v>
      </c>
      <c r="C5">
        <v>4</v>
      </c>
    </row>
    <row r="6" spans="1:4" x14ac:dyDescent="0.2">
      <c r="A6" t="s">
        <v>117</v>
      </c>
      <c r="B6" t="s">
        <v>118</v>
      </c>
      <c r="C6">
        <v>5</v>
      </c>
    </row>
    <row r="8" spans="1:4" x14ac:dyDescent="0.2">
      <c r="A8" t="s">
        <v>0</v>
      </c>
      <c r="B8" t="s">
        <v>119</v>
      </c>
      <c r="C8" t="s">
        <v>120</v>
      </c>
      <c r="D8" t="s">
        <v>121</v>
      </c>
    </row>
    <row r="9" spans="1:4" x14ac:dyDescent="0.2">
      <c r="A9" t="s">
        <v>7</v>
      </c>
      <c r="B9">
        <f>'Audit Framework'!F2</f>
        <v>0</v>
      </c>
      <c r="C9">
        <f>ROUND('Audit Framework'!F2,0)</f>
        <v>0</v>
      </c>
      <c r="D9" t="str">
        <f>IF(ROUND('Audit Framework'!F2,0)=1,"Ad-hoc",IF(ROUND('Audit Framework'!F2,0)=2,"Emerging",IF(ROUND('Audit Framework'!F2,0)=3,"Defined",IF(ROUND('Audit Framework'!F2,0)=4,"Managed","Optimized"))))</f>
        <v>Optimized</v>
      </c>
    </row>
    <row r="10" spans="1:4" x14ac:dyDescent="0.2">
      <c r="A10" t="s">
        <v>11</v>
      </c>
      <c r="B10">
        <f>'Audit Framework'!F3</f>
        <v>0</v>
      </c>
      <c r="C10">
        <f>ROUND('Audit Framework'!F3,0)</f>
        <v>0</v>
      </c>
      <c r="D10" t="str">
        <f>IF(ROUND('Audit Framework'!F3,0)=1,"Ad-hoc",IF(ROUND('Audit Framework'!F3,0)=2,"Emerging",IF(ROUND('Audit Framework'!F3,0)=3,"Defined",IF(ROUND('Audit Framework'!F3,0)=4,"Managed","Optimized"))))</f>
        <v>Optimized</v>
      </c>
    </row>
    <row r="11" spans="1:4" x14ac:dyDescent="0.2">
      <c r="A11" t="s">
        <v>100</v>
      </c>
      <c r="B11">
        <f>'Audit Framework'!F4</f>
        <v>0</v>
      </c>
      <c r="C11">
        <f>ROUND('Audit Framework'!F4,0)</f>
        <v>0</v>
      </c>
      <c r="D11" t="str">
        <f>IF(ROUND('Audit Framework'!F4,0)=1,"Ad-hoc",IF(ROUND('Audit Framework'!F4,0)=2,"Emerging",IF(ROUND('Audit Framework'!F4,0)=3,"Defined",IF(ROUND('Audit Framework'!F4,0)=4,"Managed","Optimized"))))</f>
        <v>Optimized</v>
      </c>
    </row>
    <row r="12" spans="1:4" x14ac:dyDescent="0.2">
      <c r="A12" t="s">
        <v>29</v>
      </c>
      <c r="B12">
        <f>'Audit Framework'!F5</f>
        <v>0</v>
      </c>
      <c r="C12">
        <f>ROUND('Audit Framework'!F5,0)</f>
        <v>0</v>
      </c>
      <c r="D12" t="str">
        <f>IF(ROUND('Audit Framework'!F5,0)=1,"Ad-hoc",IF(ROUND('Audit Framework'!F5,0)=2,"Emerging",IF(ROUND('Audit Framework'!F5,0)=3,"Defined",IF(ROUND('Audit Framework'!F5,0)=4,"Managed","Optimized"))))</f>
        <v>Optimized</v>
      </c>
    </row>
    <row r="13" spans="1:4" x14ac:dyDescent="0.2">
      <c r="A13" t="s">
        <v>103</v>
      </c>
      <c r="B13">
        <f>'Audit Framework'!F6</f>
        <v>0</v>
      </c>
      <c r="C13">
        <f>ROUND('Audit Framework'!F6,0)</f>
        <v>0</v>
      </c>
      <c r="D13" t="str">
        <f>IF(ROUND('Audit Framework'!F6,0)=1,"Ad-hoc",IF(ROUND('Audit Framework'!F6,0)=2,"Emerging",IF(ROUND('Audit Framework'!F6,0)=3,"Defined",IF(ROUND('Audit Framework'!F6,0)=4,"Managed","Optimized"))))</f>
        <v>Optimized</v>
      </c>
    </row>
    <row r="15" spans="1:4" x14ac:dyDescent="0.2">
      <c r="A15" t="s">
        <v>122</v>
      </c>
      <c r="B15">
        <f>AVERAGE('Audit Framework'!F8:F12)</f>
        <v>3.2666666666666666</v>
      </c>
    </row>
    <row r="16" spans="1:4" x14ac:dyDescent="0.2">
      <c r="A16" t="s">
        <v>123</v>
      </c>
      <c r="B16" s="3" t="str">
        <f>IF(ROUND(B15,0)=1,"Ad-hoc",IF(ROUND(B15,0)=2,"Emerging",IF(ROUND(B15,0)=3,"Defined",IF(ROUND(B15,0)=4,"Managed","Optimized"))))</f>
        <v>Defined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18.5" bestFit="1" customWidth="1"/>
    <col min="2" max="2" width="15" bestFit="1" customWidth="1"/>
  </cols>
  <sheetData>
    <row r="1" spans="1:6" ht="19" x14ac:dyDescent="0.25">
      <c r="A1" s="1" t="s">
        <v>124</v>
      </c>
      <c r="B1" s="2"/>
      <c r="C1" s="2"/>
      <c r="D1" s="2"/>
      <c r="E1" s="2"/>
      <c r="F1" s="2"/>
    </row>
    <row r="2" spans="1:6" x14ac:dyDescent="0.2">
      <c r="A2" t="s">
        <v>0</v>
      </c>
      <c r="B2" t="s">
        <v>97</v>
      </c>
    </row>
    <row r="3" spans="1:6" x14ac:dyDescent="0.2">
      <c r="A3" t="s">
        <v>7</v>
      </c>
      <c r="B3">
        <f>'Audit Framework'!F8</f>
        <v>3.6666666666666665</v>
      </c>
    </row>
    <row r="4" spans="1:6" x14ac:dyDescent="0.2">
      <c r="A4" t="s">
        <v>11</v>
      </c>
      <c r="B4">
        <f>'Audit Framework'!F9</f>
        <v>3</v>
      </c>
    </row>
    <row r="5" spans="1:6" x14ac:dyDescent="0.2">
      <c r="A5" t="s">
        <v>100</v>
      </c>
      <c r="B5">
        <f>'Audit Framework'!F10</f>
        <v>3.3333333333333335</v>
      </c>
    </row>
    <row r="6" spans="1:6" x14ac:dyDescent="0.2">
      <c r="A6" t="s">
        <v>29</v>
      </c>
      <c r="B6">
        <f>'Audit Framework'!F11</f>
        <v>3.6666666666666665</v>
      </c>
    </row>
    <row r="7" spans="1:6" x14ac:dyDescent="0.2">
      <c r="A7" t="s">
        <v>103</v>
      </c>
      <c r="B7">
        <f>'Audit Framework'!F12</f>
        <v>2.6666666666666665</v>
      </c>
    </row>
    <row r="9" spans="1:6" x14ac:dyDescent="0.2">
      <c r="A9" t="s">
        <v>0</v>
      </c>
      <c r="B9" t="s">
        <v>125</v>
      </c>
    </row>
    <row r="10" spans="1:6" x14ac:dyDescent="0.2">
      <c r="A10" t="s">
        <v>7</v>
      </c>
      <c r="B10">
        <f>ROUND('Audit Framework'!F8,0)</f>
        <v>4</v>
      </c>
    </row>
    <row r="11" spans="1:6" x14ac:dyDescent="0.2">
      <c r="A11" t="s">
        <v>11</v>
      </c>
      <c r="B11">
        <f>ROUND('Audit Framework'!F9,0)</f>
        <v>3</v>
      </c>
    </row>
    <row r="12" spans="1:6" x14ac:dyDescent="0.2">
      <c r="A12" t="s">
        <v>100</v>
      </c>
      <c r="B12">
        <f>ROUND('Audit Framework'!F10,0)</f>
        <v>3</v>
      </c>
    </row>
    <row r="13" spans="1:6" x14ac:dyDescent="0.2">
      <c r="A13" t="s">
        <v>29</v>
      </c>
      <c r="B13">
        <f>ROUND('Audit Framework'!F11,0)</f>
        <v>4</v>
      </c>
    </row>
    <row r="14" spans="1:6" x14ac:dyDescent="0.2">
      <c r="A14" t="s">
        <v>103</v>
      </c>
      <c r="B14">
        <f>ROUND('Audit Framework'!F12,0)</f>
        <v>3</v>
      </c>
    </row>
    <row r="16" spans="1:6" x14ac:dyDescent="0.2">
      <c r="A16" t="s">
        <v>126</v>
      </c>
      <c r="B16" t="s">
        <v>127</v>
      </c>
    </row>
    <row r="17" spans="1:2" x14ac:dyDescent="0.2">
      <c r="A17">
        <v>1</v>
      </c>
      <c r="B17">
        <f>COUNTIF(B10:B14,1)</f>
        <v>0</v>
      </c>
    </row>
    <row r="18" spans="1:2" x14ac:dyDescent="0.2">
      <c r="A18">
        <v>2</v>
      </c>
      <c r="B18">
        <f>COUNTIF(B10:B14,2)</f>
        <v>0</v>
      </c>
    </row>
    <row r="19" spans="1:2" x14ac:dyDescent="0.2">
      <c r="A19">
        <v>3</v>
      </c>
      <c r="B19">
        <f>COUNTIF(B10:B14,3)</f>
        <v>3</v>
      </c>
    </row>
    <row r="20" spans="1:2" x14ac:dyDescent="0.2">
      <c r="A20">
        <v>4</v>
      </c>
      <c r="B20">
        <f>COUNTIF(B10:B14,4)</f>
        <v>2</v>
      </c>
    </row>
    <row r="21" spans="1:2" x14ac:dyDescent="0.2">
      <c r="A21">
        <v>5</v>
      </c>
      <c r="B21">
        <f>COUNTIF(B10:B14,5)</f>
        <v>0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CRM Comparison</vt:lpstr>
      <vt:lpstr>CDP Comparison</vt:lpstr>
      <vt:lpstr>Cost Matrix</vt:lpstr>
      <vt:lpstr>Audit Framework</vt:lpstr>
      <vt:lpstr>Maturity Model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Vishwakarma, Nitin</cp:lastModifiedBy>
  <dcterms:created xsi:type="dcterms:W3CDTF">2025-11-15T04:22:46Z</dcterms:created>
  <dcterms:modified xsi:type="dcterms:W3CDTF">2025-11-15T04:32:57Z</dcterms:modified>
</cp:coreProperties>
</file>